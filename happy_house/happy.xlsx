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injs\@@Dev\happy_house\"/>
    </mc:Choice>
  </mc:AlternateContent>
  <xr:revisionPtr revIDLastSave="0" documentId="13_ncr:1_{F815988E-22E6-4150-B4F2-8B35687D5E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저축 구리두리" sheetId="1" r:id="rId1"/>
    <sheet name="요약" sheetId="2" r:id="rId2"/>
    <sheet name="1월" sheetId="3" r:id="rId3"/>
    <sheet name="2월" sheetId="4" r:id="rId4"/>
    <sheet name="3월" sheetId="5" r:id="rId5"/>
    <sheet name="4월" sheetId="6" r:id="rId6"/>
    <sheet name="5월" sheetId="7" r:id="rId7"/>
    <sheet name="6월" sheetId="8" r:id="rId8"/>
    <sheet name="7월" sheetId="9" r:id="rId9"/>
    <sheet name="8월" sheetId="10" r:id="rId10"/>
    <sheet name="9월" sheetId="11" r:id="rId11"/>
    <sheet name="10월" sheetId="12" r:id="rId12"/>
    <sheet name="11월" sheetId="13" r:id="rId13"/>
    <sheet name="12월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AQ2qSWi5XZJucA9NscP18xHhXf4asuRSvsF7Osjs0rE="/>
    </ext>
  </extLst>
</workbook>
</file>

<file path=xl/calcChain.xml><?xml version="1.0" encoding="utf-8"?>
<calcChain xmlns="http://schemas.openxmlformats.org/spreadsheetml/2006/main">
  <c r="F48" i="14" l="1"/>
  <c r="D48" i="14"/>
  <c r="G45" i="14"/>
  <c r="G44" i="14"/>
  <c r="E40" i="14"/>
  <c r="C7" i="14"/>
  <c r="C6" i="14"/>
  <c r="C5" i="14"/>
  <c r="C8" i="14" s="1"/>
  <c r="F48" i="13"/>
  <c r="D48" i="13"/>
  <c r="G45" i="13"/>
  <c r="G44" i="13"/>
  <c r="E40" i="13"/>
  <c r="C7" i="13"/>
  <c r="C6" i="13"/>
  <c r="O7" i="2" s="1"/>
  <c r="C5" i="13"/>
  <c r="C8" i="13" s="1"/>
  <c r="F48" i="12"/>
  <c r="D48" i="12"/>
  <c r="G45" i="12"/>
  <c r="G44" i="12"/>
  <c r="E40" i="12"/>
  <c r="C7" i="12"/>
  <c r="C8" i="12" s="1"/>
  <c r="C6" i="12"/>
  <c r="C5" i="12"/>
  <c r="F48" i="11"/>
  <c r="D48" i="11"/>
  <c r="G45" i="11"/>
  <c r="G44" i="11"/>
  <c r="E40" i="11"/>
  <c r="C8" i="11"/>
  <c r="C7" i="11"/>
  <c r="C6" i="11"/>
  <c r="C5" i="11"/>
  <c r="F48" i="10"/>
  <c r="D48" i="10"/>
  <c r="G45" i="10"/>
  <c r="G44" i="10"/>
  <c r="E40" i="10"/>
  <c r="C7" i="10"/>
  <c r="C6" i="10"/>
  <c r="C5" i="10"/>
  <c r="C8" i="10" s="1"/>
  <c r="F48" i="9"/>
  <c r="D48" i="9"/>
  <c r="G45" i="9"/>
  <c r="G44" i="9"/>
  <c r="E40" i="9"/>
  <c r="C7" i="9"/>
  <c r="C6" i="9"/>
  <c r="C8" i="9" s="1"/>
  <c r="C5" i="9"/>
  <c r="F48" i="8"/>
  <c r="D48" i="8"/>
  <c r="G45" i="8"/>
  <c r="G44" i="8"/>
  <c r="E40" i="8"/>
  <c r="C7" i="8"/>
  <c r="C8" i="8" s="1"/>
  <c r="C6" i="8"/>
  <c r="C5" i="8"/>
  <c r="F48" i="7"/>
  <c r="D48" i="7"/>
  <c r="G45" i="7"/>
  <c r="G44" i="7"/>
  <c r="E40" i="7"/>
  <c r="C8" i="7"/>
  <c r="C7" i="7"/>
  <c r="C6" i="7"/>
  <c r="C5" i="7"/>
  <c r="E54" i="6"/>
  <c r="F50" i="6"/>
  <c r="D50" i="6"/>
  <c r="G47" i="6"/>
  <c r="G46" i="6"/>
  <c r="F42" i="6"/>
  <c r="E42" i="6"/>
  <c r="K28" i="6"/>
  <c r="C21" i="6"/>
  <c r="D20" i="6"/>
  <c r="E20" i="6" s="1"/>
  <c r="D19" i="6"/>
  <c r="E19" i="6" s="1"/>
  <c r="D18" i="6"/>
  <c r="E18" i="6" s="1"/>
  <c r="D17" i="6"/>
  <c r="D21" i="6" s="1"/>
  <c r="H13" i="6"/>
  <c r="E13" i="6"/>
  <c r="C13" i="6"/>
  <c r="I12" i="6"/>
  <c r="H12" i="6"/>
  <c r="E7" i="6"/>
  <c r="Q4" i="6"/>
  <c r="Q3" i="6"/>
  <c r="E54" i="5"/>
  <c r="F50" i="5"/>
  <c r="D50" i="5"/>
  <c r="G47" i="5"/>
  <c r="G46" i="5"/>
  <c r="F42" i="5"/>
  <c r="E42" i="5"/>
  <c r="H12" i="5" s="1"/>
  <c r="H13" i="5" s="1"/>
  <c r="C21" i="5"/>
  <c r="Q4" i="5" s="1"/>
  <c r="D20" i="5"/>
  <c r="E20" i="5" s="1"/>
  <c r="D19" i="5"/>
  <c r="E19" i="5" s="1"/>
  <c r="D18" i="5"/>
  <c r="E18" i="5" s="1"/>
  <c r="D17" i="5"/>
  <c r="D21" i="5" s="1"/>
  <c r="E13" i="5"/>
  <c r="C13" i="5"/>
  <c r="I12" i="5"/>
  <c r="E7" i="5"/>
  <c r="C6" i="5"/>
  <c r="C5" i="5"/>
  <c r="Q3" i="5"/>
  <c r="E54" i="4"/>
  <c r="F50" i="4"/>
  <c r="D50" i="4"/>
  <c r="G47" i="4"/>
  <c r="G46" i="4"/>
  <c r="F42" i="4"/>
  <c r="E42" i="4"/>
  <c r="H12" i="4" s="1"/>
  <c r="H13" i="4" s="1"/>
  <c r="C21" i="4"/>
  <c r="D20" i="4"/>
  <c r="E20" i="4" s="1"/>
  <c r="D19" i="4"/>
  <c r="E19" i="4" s="1"/>
  <c r="D18" i="4"/>
  <c r="E18" i="4" s="1"/>
  <c r="D17" i="4"/>
  <c r="D21" i="4" s="1"/>
  <c r="E13" i="4"/>
  <c r="C13" i="4"/>
  <c r="I12" i="4"/>
  <c r="E7" i="4"/>
  <c r="C6" i="4"/>
  <c r="C5" i="4"/>
  <c r="F48" i="3"/>
  <c r="D48" i="3"/>
  <c r="G45" i="3"/>
  <c r="G44" i="3"/>
  <c r="E40" i="3"/>
  <c r="C7" i="3"/>
  <c r="C6" i="3"/>
  <c r="E7" i="2" s="1"/>
  <c r="C5" i="3"/>
  <c r="P20" i="2"/>
  <c r="O20" i="2"/>
  <c r="N20" i="2"/>
  <c r="M20" i="2"/>
  <c r="L20" i="2"/>
  <c r="K20" i="2"/>
  <c r="J20" i="2"/>
  <c r="I20" i="2"/>
  <c r="H20" i="2"/>
  <c r="G20" i="2"/>
  <c r="F20" i="2"/>
  <c r="E20" i="2"/>
  <c r="P19" i="2"/>
  <c r="O19" i="2"/>
  <c r="N19" i="2"/>
  <c r="M19" i="2"/>
  <c r="L19" i="2"/>
  <c r="K19" i="2"/>
  <c r="J19" i="2"/>
  <c r="I19" i="2"/>
  <c r="H19" i="2"/>
  <c r="G19" i="2"/>
  <c r="F19" i="2"/>
  <c r="E19" i="2"/>
  <c r="P18" i="2"/>
  <c r="O18" i="2"/>
  <c r="N18" i="2"/>
  <c r="M18" i="2"/>
  <c r="L18" i="2"/>
  <c r="K18" i="2"/>
  <c r="J18" i="2"/>
  <c r="I18" i="2"/>
  <c r="H18" i="2"/>
  <c r="G18" i="2"/>
  <c r="F18" i="2"/>
  <c r="E18" i="2"/>
  <c r="P17" i="2"/>
  <c r="O17" i="2"/>
  <c r="N17" i="2"/>
  <c r="M17" i="2"/>
  <c r="L17" i="2"/>
  <c r="K17" i="2"/>
  <c r="J17" i="2"/>
  <c r="I17" i="2"/>
  <c r="H17" i="2"/>
  <c r="G17" i="2"/>
  <c r="F17" i="2"/>
  <c r="E17" i="2"/>
  <c r="P16" i="2"/>
  <c r="O16" i="2"/>
  <c r="N16" i="2"/>
  <c r="M16" i="2"/>
  <c r="L16" i="2"/>
  <c r="K16" i="2"/>
  <c r="J16" i="2"/>
  <c r="I16" i="2"/>
  <c r="H16" i="2"/>
  <c r="G16" i="2"/>
  <c r="F16" i="2"/>
  <c r="E16" i="2"/>
  <c r="P15" i="2"/>
  <c r="O15" i="2"/>
  <c r="N15" i="2"/>
  <c r="M15" i="2"/>
  <c r="L15" i="2"/>
  <c r="K15" i="2"/>
  <c r="J15" i="2"/>
  <c r="I15" i="2"/>
  <c r="H15" i="2"/>
  <c r="G15" i="2"/>
  <c r="F15" i="2"/>
  <c r="E15" i="2"/>
  <c r="P14" i="2"/>
  <c r="O14" i="2"/>
  <c r="N14" i="2"/>
  <c r="M14" i="2"/>
  <c r="L14" i="2"/>
  <c r="K14" i="2"/>
  <c r="J14" i="2"/>
  <c r="I14" i="2"/>
  <c r="H14" i="2"/>
  <c r="G14" i="2"/>
  <c r="F14" i="2"/>
  <c r="E14" i="2"/>
  <c r="P13" i="2"/>
  <c r="O13" i="2"/>
  <c r="N13" i="2"/>
  <c r="M13" i="2"/>
  <c r="L13" i="2"/>
  <c r="K13" i="2"/>
  <c r="J13" i="2"/>
  <c r="I13" i="2"/>
  <c r="H13" i="2"/>
  <c r="G13" i="2"/>
  <c r="F13" i="2"/>
  <c r="E13" i="2"/>
  <c r="P12" i="2"/>
  <c r="O12" i="2"/>
  <c r="N12" i="2"/>
  <c r="M12" i="2"/>
  <c r="L12" i="2"/>
  <c r="K12" i="2"/>
  <c r="J12" i="2"/>
  <c r="I12" i="2"/>
  <c r="H12" i="2"/>
  <c r="G12" i="2"/>
  <c r="F12" i="2"/>
  <c r="E12" i="2"/>
  <c r="P11" i="2"/>
  <c r="P21" i="2" s="1"/>
  <c r="P4" i="2" s="1"/>
  <c r="O11" i="2"/>
  <c r="O21" i="2" s="1"/>
  <c r="O4" i="2" s="1"/>
  <c r="N11" i="2"/>
  <c r="N21" i="2" s="1"/>
  <c r="N4" i="2" s="1"/>
  <c r="M11" i="2"/>
  <c r="M21" i="2" s="1"/>
  <c r="M4" i="2" s="1"/>
  <c r="L11" i="2"/>
  <c r="L21" i="2" s="1"/>
  <c r="L4" i="2" s="1"/>
  <c r="K11" i="2"/>
  <c r="K21" i="2" s="1"/>
  <c r="K4" i="2" s="1"/>
  <c r="J11" i="2"/>
  <c r="J21" i="2" s="1"/>
  <c r="J4" i="2" s="1"/>
  <c r="I11" i="2"/>
  <c r="I21" i="2" s="1"/>
  <c r="I4" i="2" s="1"/>
  <c r="H11" i="2"/>
  <c r="H21" i="2" s="1"/>
  <c r="H4" i="2" s="1"/>
  <c r="G11" i="2"/>
  <c r="G21" i="2" s="1"/>
  <c r="G4" i="2" s="1"/>
  <c r="F11" i="2"/>
  <c r="F21" i="2" s="1"/>
  <c r="F4" i="2" s="1"/>
  <c r="E11" i="2"/>
  <c r="E21" i="2" s="1"/>
  <c r="E4" i="2" s="1"/>
  <c r="P9" i="2"/>
  <c r="O9" i="2"/>
  <c r="N9" i="2"/>
  <c r="M9" i="2"/>
  <c r="L9" i="2"/>
  <c r="K9" i="2"/>
  <c r="J9" i="2"/>
  <c r="I9" i="2"/>
  <c r="E9" i="2"/>
  <c r="P8" i="2"/>
  <c r="P10" i="2" s="1"/>
  <c r="O8" i="2"/>
  <c r="O10" i="2" s="1"/>
  <c r="N8" i="2"/>
  <c r="N10" i="2" s="1"/>
  <c r="M8" i="2"/>
  <c r="M10" i="2" s="1"/>
  <c r="L8" i="2"/>
  <c r="L10" i="2" s="1"/>
  <c r="K8" i="2"/>
  <c r="K10" i="2" s="1"/>
  <c r="J8" i="2"/>
  <c r="J10" i="2" s="1"/>
  <c r="I8" i="2"/>
  <c r="I10" i="2" s="1"/>
  <c r="H8" i="2"/>
  <c r="E8" i="2"/>
  <c r="E10" i="2" s="1"/>
  <c r="P7" i="2"/>
  <c r="N7" i="2"/>
  <c r="M7" i="2"/>
  <c r="L7" i="2"/>
  <c r="J7" i="2"/>
  <c r="I7" i="2"/>
  <c r="H7" i="2"/>
  <c r="G7" i="2"/>
  <c r="F7" i="2"/>
  <c r="F2" i="1"/>
  <c r="E2" i="1"/>
  <c r="G8" i="2" l="1"/>
  <c r="D4" i="2"/>
  <c r="I13" i="6"/>
  <c r="F8" i="2"/>
  <c r="E17" i="4"/>
  <c r="E21" i="4" s="1"/>
  <c r="J12" i="4" s="1"/>
  <c r="I13" i="4" s="1"/>
  <c r="E17" i="5"/>
  <c r="E21" i="5" s="1"/>
  <c r="J12" i="5" s="1"/>
  <c r="I13" i="5" s="1"/>
  <c r="K7" i="2"/>
  <c r="C8" i="3"/>
  <c r="E17" i="6"/>
  <c r="E21" i="6" s="1"/>
  <c r="J12" i="6" s="1"/>
  <c r="F9" i="2" l="1"/>
  <c r="C7" i="4"/>
  <c r="C8" i="4" s="1"/>
  <c r="G9" i="2"/>
  <c r="G10" i="2" s="1"/>
  <c r="C7" i="5"/>
  <c r="C8" i="5" s="1"/>
  <c r="H9" i="2"/>
  <c r="H10" i="2" s="1"/>
  <c r="C7" i="6"/>
  <c r="C8" i="6" s="1"/>
  <c r="F10" i="2"/>
</calcChain>
</file>

<file path=xl/sharedStrings.xml><?xml version="1.0" encoding="utf-8"?>
<sst xmlns="http://schemas.openxmlformats.org/spreadsheetml/2006/main" count="1083" uniqueCount="216">
  <si>
    <t>기준일</t>
  </si>
  <si>
    <t>입금액</t>
  </si>
  <si>
    <t>마통잔액</t>
  </si>
  <si>
    <t>인출가능 금액</t>
  </si>
  <si>
    <t>달성 여부</t>
  </si>
  <si>
    <t>정리</t>
  </si>
  <si>
    <t>차수</t>
  </si>
  <si>
    <t>입금일</t>
  </si>
  <si>
    <t xml:space="preserve">필요금액 </t>
  </si>
  <si>
    <t xml:space="preserve">누적 목표 </t>
  </si>
  <si>
    <t>5차</t>
  </si>
  <si>
    <t>6차</t>
  </si>
  <si>
    <t xml:space="preserve">짜바리 </t>
  </si>
  <si>
    <t>엔화 40만원</t>
  </si>
  <si>
    <t>MS 370만원</t>
  </si>
  <si>
    <t>청약 910</t>
  </si>
  <si>
    <t>자동연동</t>
  </si>
  <si>
    <t>총 저축액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</si>
  <si>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</si>
  <si>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</si>
  <si>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</si>
  <si>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</si>
  <si>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</si>
  <si>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</si>
  <si>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</si>
  <si>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</si>
  <si>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</si>
  <si>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</si>
  <si>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</si>
  <si>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</si>
  <si>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구분</t>
  </si>
  <si>
    <r>
      <rPr>
        <sz val="10"/>
        <color theme="1"/>
        <rFont val="Arial"/>
      </rPr>
      <t>신용은</t>
    </r>
    <r>
      <rPr>
        <sz val="10"/>
        <color theme="1"/>
        <rFont val="Arial"/>
      </rPr>
      <t xml:space="preserve"> </t>
    </r>
    <r>
      <rPr>
        <sz val="10"/>
        <color theme="1"/>
        <rFont val="Arial"/>
      </rPr>
      <t>이달에</t>
    </r>
    <r>
      <rPr>
        <sz val="10"/>
        <color theme="1"/>
        <rFont val="Arial"/>
      </rPr>
      <t xml:space="preserve"> </t>
    </r>
    <r>
      <rPr>
        <sz val="10"/>
        <color theme="1"/>
        <rFont val="Arial"/>
      </rPr>
      <t>쓴</t>
    </r>
    <r>
      <rPr>
        <sz val="10"/>
        <color theme="1"/>
        <rFont val="Arial"/>
      </rPr>
      <t xml:space="preserve"> </t>
    </r>
    <r>
      <rPr>
        <sz val="10"/>
        <color theme="1"/>
        <rFont val="Arial"/>
      </rPr>
      <t>것</t>
    </r>
    <r>
      <rPr>
        <sz val="10"/>
        <color theme="1"/>
        <rFont val="Arial"/>
      </rPr>
      <t xml:space="preserve"> </t>
    </r>
    <r>
      <rPr>
        <sz val="10"/>
        <color theme="1"/>
        <rFont val="Arial"/>
      </rPr>
      <t>기준</t>
    </r>
  </si>
  <si>
    <t>수입</t>
  </si>
  <si>
    <r>
      <rPr>
        <sz val="10"/>
        <color theme="1"/>
        <rFont val="Arial"/>
      </rPr>
      <t>나머지는</t>
    </r>
    <r>
      <rPr>
        <sz val="10"/>
        <color theme="1"/>
        <rFont val="Arial"/>
      </rPr>
      <t xml:space="preserve"> </t>
    </r>
    <r>
      <rPr>
        <sz val="10"/>
        <color theme="1"/>
        <rFont val="Arial"/>
      </rPr>
      <t>부과된</t>
    </r>
    <r>
      <rPr>
        <sz val="10"/>
        <color theme="1"/>
        <rFont val="Arial"/>
      </rPr>
      <t xml:space="preserve"> </t>
    </r>
    <r>
      <rPr>
        <sz val="10"/>
        <color theme="1"/>
        <rFont val="Arial"/>
      </rPr>
      <t>날</t>
    </r>
    <r>
      <rPr>
        <sz val="10"/>
        <color theme="1"/>
        <rFont val="Arial"/>
      </rPr>
      <t xml:space="preserve"> </t>
    </r>
    <r>
      <rPr>
        <sz val="10"/>
        <color theme="1"/>
        <rFont val="Arial"/>
      </rPr>
      <t>기준</t>
    </r>
  </si>
  <si>
    <t>지출</t>
  </si>
  <si>
    <t>고정비</t>
  </si>
  <si>
    <t>변동비</t>
  </si>
  <si>
    <t>지출 합계</t>
  </si>
  <si>
    <t>저축</t>
  </si>
  <si>
    <t>민정 청약</t>
  </si>
  <si>
    <t>상휘 청약</t>
  </si>
  <si>
    <t>민정 퇴직연금</t>
  </si>
  <si>
    <t>상휘 청년내일</t>
  </si>
  <si>
    <r>
      <rPr>
        <sz val="10"/>
        <color theme="1"/>
        <rFont val="맑은 고딕"/>
        <family val="3"/>
        <charset val="129"/>
      </rPr>
      <t>상휘</t>
    </r>
    <r>
      <rPr>
        <sz val="10"/>
        <color theme="1"/>
        <rFont val="Arial"/>
      </rPr>
      <t xml:space="preserve"> </t>
    </r>
    <r>
      <rPr>
        <sz val="10"/>
        <color theme="1"/>
        <rFont val="맑은 고딕"/>
        <family val="3"/>
        <charset val="129"/>
      </rPr>
      <t>금계좌</t>
    </r>
  </si>
  <si>
    <t>상휘 마통 상환</t>
  </si>
  <si>
    <r>
      <rPr>
        <sz val="10"/>
        <color theme="1"/>
        <rFont val="Arial"/>
      </rPr>
      <t>저축</t>
    </r>
    <r>
      <rPr>
        <sz val="10"/>
        <color theme="1"/>
        <rFont val="Arial"/>
      </rPr>
      <t xml:space="preserve"> </t>
    </r>
    <r>
      <rPr>
        <sz val="10"/>
        <color theme="1"/>
        <rFont val="Arial"/>
      </rPr>
      <t>합계</t>
    </r>
  </si>
  <si>
    <r>
      <rPr>
        <sz val="10"/>
        <color theme="1"/>
        <rFont val="Arial"/>
      </rPr>
      <t>특이사항</t>
    </r>
  </si>
  <si>
    <r>
      <rPr>
        <sz val="10"/>
        <color theme="1"/>
        <rFont val="Arial"/>
      </rPr>
      <t>지출예정</t>
    </r>
  </si>
  <si>
    <t>타이어(변동비)</t>
  </si>
  <si>
    <t>어버이날</t>
  </si>
  <si>
    <t>추석</t>
  </si>
  <si>
    <t>직접입력</t>
  </si>
  <si>
    <t>직접동일입력</t>
  </si>
  <si>
    <t>그 외 자동 연동</t>
  </si>
  <si>
    <t>계획</t>
  </si>
  <si>
    <t>요약</t>
  </si>
  <si>
    <t>이월잔액</t>
  </si>
  <si>
    <t>잔액</t>
  </si>
  <si>
    <t>계좌1</t>
  </si>
  <si>
    <t>계좌2</t>
  </si>
  <si>
    <t>주수입</t>
  </si>
  <si>
    <t>기타</t>
  </si>
  <si>
    <t>기타비고</t>
  </si>
  <si>
    <t>계좌(비고정)</t>
  </si>
  <si>
    <t>카드(비고정)</t>
  </si>
  <si>
    <t>금액</t>
  </si>
  <si>
    <t>합계</t>
  </si>
  <si>
    <t>카드별 지출 요약</t>
  </si>
  <si>
    <t>카드명</t>
  </si>
  <si>
    <t>일시불</t>
  </si>
  <si>
    <t>할부</t>
  </si>
  <si>
    <t>하나 알뜰 체크</t>
  </si>
  <si>
    <t>하나 신용</t>
  </si>
  <si>
    <t>현대 신용</t>
  </si>
  <si>
    <t>하나 시코르</t>
  </si>
  <si>
    <t>고정 지출</t>
  </si>
  <si>
    <t>분류</t>
  </si>
  <si>
    <t>항목</t>
  </si>
  <si>
    <t>지출 - 신용카드 할부</t>
  </si>
  <si>
    <t>회차</t>
  </si>
  <si>
    <t>지불방식</t>
  </si>
  <si>
    <t>잔여회차</t>
  </si>
  <si>
    <t>총 회차</t>
  </si>
  <si>
    <t>할부 합계</t>
  </si>
  <si>
    <t>할부 잔액</t>
  </si>
  <si>
    <t>지출 - 비고정비</t>
  </si>
  <si>
    <t>날짜</t>
  </si>
  <si>
    <t>지불 내용</t>
  </si>
  <si>
    <t>비고정비 합계</t>
  </si>
  <si>
    <t>카드 OR 계좌</t>
  </si>
  <si>
    <t>비고</t>
  </si>
  <si>
    <t>구매</t>
  </si>
  <si>
    <t>로봇 청소기</t>
  </si>
  <si>
    <t>계좌</t>
  </si>
  <si>
    <t>설 용돈</t>
  </si>
  <si>
    <t>엄마</t>
  </si>
  <si>
    <t>축의금</t>
  </si>
  <si>
    <t>윤혜 언니</t>
  </si>
  <si>
    <t>운전교육</t>
  </si>
  <si>
    <t>기능 추가 교육</t>
  </si>
  <si>
    <r>
      <rPr>
        <b/>
        <sz val="10"/>
        <color theme="1"/>
        <rFont val="Arial"/>
      </rPr>
      <t>2</t>
    </r>
    <r>
      <rPr>
        <b/>
        <sz val="10"/>
        <color theme="1"/>
        <rFont val="맑은 고딕"/>
        <family val="3"/>
        <charset val="129"/>
      </rPr>
      <t>월</t>
    </r>
    <r>
      <rPr>
        <b/>
        <sz val="10"/>
        <color theme="1"/>
        <rFont val="Arial"/>
      </rPr>
      <t xml:space="preserve"> 25</t>
    </r>
    <r>
      <rPr>
        <b/>
        <sz val="10"/>
        <color theme="1"/>
        <rFont val="맑은 고딕"/>
        <family val="3"/>
        <charset val="129"/>
      </rPr>
      <t>일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>~ 3</t>
    </r>
    <r>
      <rPr>
        <b/>
        <sz val="10"/>
        <color theme="1"/>
        <rFont val="맑은 고딕"/>
        <family val="3"/>
        <charset val="129"/>
      </rPr>
      <t>월</t>
    </r>
    <r>
      <rPr>
        <b/>
        <sz val="10"/>
        <color theme="1"/>
        <rFont val="Arial"/>
      </rPr>
      <t xml:space="preserve"> 24</t>
    </r>
    <r>
      <rPr>
        <b/>
        <sz val="10"/>
        <color theme="1"/>
        <rFont val="맑은 고딕"/>
        <family val="3"/>
        <charset val="129"/>
      </rPr>
      <t>일</t>
    </r>
    <r>
      <rPr>
        <b/>
        <sz val="10"/>
        <color theme="1"/>
        <rFont val="Arial"/>
      </rPr>
      <t xml:space="preserve"> </t>
    </r>
  </si>
  <si>
    <t>상휘 금계좌</t>
  </si>
  <si>
    <t>상휘 마통</t>
  </si>
  <si>
    <t>이번달은 연말정산 들어온 것</t>
  </si>
  <si>
    <t>토스모임</t>
  </si>
  <si>
    <t>민정</t>
  </si>
  <si>
    <t>상휘</t>
  </si>
  <si>
    <r>
      <rPr>
        <b/>
        <sz val="10"/>
        <color theme="1"/>
        <rFont val="맑은 고딕"/>
        <family val="3"/>
        <charset val="129"/>
      </rPr>
      <t>카드별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맑은 고딕"/>
        <family val="3"/>
        <charset val="129"/>
      </rPr>
      <t>지출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맑은 고딕"/>
        <family val="3"/>
        <charset val="129"/>
      </rPr>
      <t>요약</t>
    </r>
  </si>
  <si>
    <t xml:space="preserve">카드 사용 기간이 2월인 것 (결제는 3월 중순) </t>
  </si>
  <si>
    <r>
      <rPr>
        <sz val="10"/>
        <color theme="1"/>
        <rFont val="맑은 고딕"/>
        <family val="3"/>
        <charset val="129"/>
      </rPr>
      <t>민정 하나</t>
    </r>
    <r>
      <rPr>
        <sz val="10"/>
        <color theme="1"/>
        <rFont val="Arial"/>
      </rPr>
      <t xml:space="preserve"> </t>
    </r>
    <r>
      <rPr>
        <sz val="10"/>
        <color theme="1"/>
        <rFont val="맑은 고딕"/>
        <family val="3"/>
        <charset val="129"/>
      </rPr>
      <t>신용</t>
    </r>
  </si>
  <si>
    <t>민정 현대 신용</t>
  </si>
  <si>
    <t>상휘 하나 신용</t>
  </si>
  <si>
    <r>
      <rPr>
        <sz val="10"/>
        <color theme="1"/>
        <rFont val="맑은 고딕"/>
        <family val="3"/>
        <charset val="129"/>
      </rPr>
      <t>주유</t>
    </r>
    <r>
      <rPr>
        <sz val="10"/>
        <color theme="1"/>
        <rFont val="Arial"/>
      </rPr>
      <t xml:space="preserve">, </t>
    </r>
    <r>
      <rPr>
        <sz val="10"/>
        <color theme="1"/>
        <rFont val="맑은 고딕"/>
        <family val="3"/>
        <charset val="129"/>
      </rPr>
      <t>경점검</t>
    </r>
    <r>
      <rPr>
        <sz val="10"/>
        <color theme="1"/>
        <rFont val="Arial"/>
      </rPr>
      <t xml:space="preserve">, </t>
    </r>
    <r>
      <rPr>
        <sz val="10"/>
        <color theme="1"/>
        <rFont val="맑은 고딕"/>
        <family val="3"/>
        <charset val="129"/>
      </rPr>
      <t>톨비로 40만원 예산</t>
    </r>
  </si>
  <si>
    <t>상휘 현대 신용</t>
  </si>
  <si>
    <t>미리</t>
  </si>
  <si>
    <t>실제 지출</t>
  </si>
  <si>
    <t>예상</t>
  </si>
  <si>
    <t>주거</t>
  </si>
  <si>
    <r>
      <rPr>
        <sz val="10"/>
        <color theme="1"/>
        <rFont val="Arial"/>
      </rPr>
      <t>버팀목</t>
    </r>
    <r>
      <rPr>
        <sz val="10"/>
        <color theme="1"/>
        <rFont val="Arial"/>
      </rPr>
      <t xml:space="preserve"> 이자</t>
    </r>
  </si>
  <si>
    <r>
      <rPr>
        <sz val="10"/>
        <color theme="1"/>
        <rFont val="Arial"/>
      </rPr>
      <t>중기청</t>
    </r>
    <r>
      <rPr>
        <sz val="10"/>
        <color theme="1"/>
        <rFont val="Arial"/>
      </rPr>
      <t xml:space="preserve"> </t>
    </r>
    <r>
      <rPr>
        <sz val="10"/>
        <color theme="1"/>
        <rFont val="Arial"/>
      </rPr>
      <t>이자</t>
    </r>
  </si>
  <si>
    <t>통신</t>
  </si>
  <si>
    <t>휴대폰 - 민정</t>
  </si>
  <si>
    <t>휴대폰 - 상휘</t>
  </si>
  <si>
    <t>신혼여행 로밍</t>
  </si>
  <si>
    <r>
      <rPr>
        <sz val="10"/>
        <color theme="1"/>
        <rFont val="Arial"/>
      </rPr>
      <t>인터넷</t>
    </r>
  </si>
  <si>
    <t>보험</t>
  </si>
  <si>
    <r>
      <rPr>
        <sz val="10"/>
        <color theme="1"/>
        <rFont val="Arial"/>
      </rPr>
      <t xml:space="preserve">KB </t>
    </r>
    <r>
      <rPr>
        <sz val="10"/>
        <color theme="1"/>
        <rFont val="맑은 고딕"/>
        <family val="3"/>
        <charset val="129"/>
      </rPr>
      <t>손보 - 민정</t>
    </r>
  </si>
  <si>
    <t>농협 손보 - 민정</t>
  </si>
  <si>
    <r>
      <rPr>
        <sz val="10"/>
        <color theme="1"/>
        <rFont val="Arial"/>
      </rPr>
      <t xml:space="preserve">DB </t>
    </r>
    <r>
      <rPr>
        <sz val="10"/>
        <color theme="1"/>
        <rFont val="맑은 고딕"/>
        <family val="3"/>
        <charset val="129"/>
      </rPr>
      <t>손보 - 상휘</t>
    </r>
  </si>
  <si>
    <t>삼성일반 - 상휘</t>
  </si>
  <si>
    <t>삼성손보 - 상휘</t>
  </si>
  <si>
    <t>구독</t>
  </si>
  <si>
    <r>
      <rPr>
        <sz val="10"/>
        <color theme="1"/>
        <rFont val="Arial"/>
      </rPr>
      <t>넷플릭스</t>
    </r>
  </si>
  <si>
    <r>
      <rPr>
        <sz val="10"/>
        <color theme="1"/>
        <rFont val="Arial"/>
      </rPr>
      <t>친목</t>
    </r>
  </si>
  <si>
    <r>
      <rPr>
        <sz val="10"/>
        <color theme="1"/>
        <rFont val="맑은 고딕"/>
        <family val="3"/>
        <charset val="129"/>
      </rPr>
      <t>민정</t>
    </r>
    <r>
      <rPr>
        <sz val="10"/>
        <color theme="1"/>
        <rFont val="Arial"/>
      </rPr>
      <t xml:space="preserve"> </t>
    </r>
    <r>
      <rPr>
        <sz val="10"/>
        <color theme="1"/>
        <rFont val="맑은 고딕"/>
        <family val="3"/>
        <charset val="129"/>
      </rPr>
      <t>친구 곗돈</t>
    </r>
  </si>
  <si>
    <r>
      <rPr>
        <sz val="10"/>
        <color theme="1"/>
        <rFont val="Arial"/>
      </rPr>
      <t>기타</t>
    </r>
  </si>
  <si>
    <t>민정 본가 용돈</t>
  </si>
  <si>
    <r>
      <rPr>
        <sz val="10"/>
        <color theme="1"/>
        <rFont val="Arial"/>
      </rPr>
      <t>관리비</t>
    </r>
  </si>
  <si>
    <r>
      <rPr>
        <sz val="10"/>
        <color theme="1"/>
        <rFont val="Arial"/>
      </rPr>
      <t>주거</t>
    </r>
  </si>
  <si>
    <t>가스비</t>
  </si>
  <si>
    <r>
      <rPr>
        <sz val="10"/>
        <color theme="1"/>
        <rFont val="Arial"/>
      </rPr>
      <t>3</t>
    </r>
    <r>
      <rPr>
        <sz val="10"/>
        <color theme="1"/>
        <rFont val="맑은 고딕"/>
        <family val="3"/>
        <charset val="129"/>
      </rPr>
      <t>개월마다</t>
    </r>
  </si>
  <si>
    <t>교통</t>
  </si>
  <si>
    <t>민정 대중교통비</t>
  </si>
  <si>
    <r>
      <rPr>
        <sz val="10"/>
        <color theme="1"/>
        <rFont val="맑은 고딕"/>
        <family val="3"/>
        <charset val="129"/>
      </rPr>
      <t xml:space="preserve">신혼여행으로 대중교통 덜 이용, 보통 13만원 - </t>
    </r>
    <r>
      <rPr>
        <sz val="10"/>
        <color theme="1"/>
        <rFont val="Arial"/>
      </rPr>
      <t>K</t>
    </r>
    <r>
      <rPr>
        <sz val="10"/>
        <color theme="1"/>
        <rFont val="맑은 고딕"/>
        <family val="3"/>
        <charset val="129"/>
      </rPr>
      <t>패스환급 4만원</t>
    </r>
  </si>
  <si>
    <t>생활비</t>
  </si>
  <si>
    <t xml:space="preserve">기타 생활비 </t>
  </si>
  <si>
    <t xml:space="preserve">용돈을 38만원 더 씀 </t>
  </si>
  <si>
    <r>
      <rPr>
        <sz val="10"/>
        <color theme="1"/>
        <rFont val="Arial"/>
      </rPr>
      <t>할부</t>
    </r>
    <r>
      <rPr>
        <sz val="10"/>
        <color theme="1"/>
        <rFont val="Arial"/>
      </rPr>
      <t xml:space="preserve"> </t>
    </r>
    <r>
      <rPr>
        <sz val="10"/>
        <color theme="1"/>
        <rFont val="Arial"/>
      </rPr>
      <t>잔액</t>
    </r>
  </si>
  <si>
    <r>
      <rPr>
        <sz val="10"/>
        <color theme="1"/>
        <rFont val="Arial"/>
      </rPr>
      <t>금액</t>
    </r>
  </si>
  <si>
    <t>민정 후배 결혼식</t>
  </si>
  <si>
    <t>상휘 영어 학원</t>
  </si>
  <si>
    <t>학원비</t>
  </si>
  <si>
    <t>예산 18만원</t>
  </si>
  <si>
    <t>콩이 병원비</t>
  </si>
  <si>
    <t>예정</t>
  </si>
  <si>
    <t>예산 50만원</t>
  </si>
  <si>
    <t>실제로 안씀</t>
  </si>
  <si>
    <t>민정 어머니 임플란트</t>
  </si>
  <si>
    <t>예산 30만원</t>
  </si>
  <si>
    <t>상휘 타이어교체+점검</t>
  </si>
  <si>
    <t>3/25에 사용 다음달 예산으로 이관</t>
  </si>
  <si>
    <r>
      <rPr>
        <b/>
        <sz val="10"/>
        <color theme="1"/>
        <rFont val="Arial"/>
      </rPr>
      <t>3</t>
    </r>
    <r>
      <rPr>
        <b/>
        <sz val="10"/>
        <color theme="1"/>
        <rFont val="맑은 고딕"/>
        <family val="3"/>
        <charset val="129"/>
      </rPr>
      <t xml:space="preserve">월 25일 </t>
    </r>
    <r>
      <rPr>
        <b/>
        <sz val="10"/>
        <color theme="1"/>
        <rFont val="Arial"/>
      </rPr>
      <t>~ 4</t>
    </r>
    <r>
      <rPr>
        <b/>
        <sz val="10"/>
        <color theme="1"/>
        <rFont val="맑은 고딕"/>
        <family val="3"/>
        <charset val="129"/>
      </rPr>
      <t xml:space="preserve">월 24일 </t>
    </r>
  </si>
  <si>
    <t>토스 비고정비 계좌</t>
  </si>
  <si>
    <t>토스 자유 입출금</t>
  </si>
  <si>
    <r>
      <rPr>
        <b/>
        <sz val="10"/>
        <color theme="1"/>
        <rFont val="맑은 고딕"/>
        <family val="3"/>
        <charset val="129"/>
      </rPr>
      <t>카드별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맑은 고딕"/>
        <family val="3"/>
        <charset val="129"/>
      </rPr>
      <t>지출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맑은 고딕"/>
        <family val="3"/>
        <charset val="129"/>
      </rPr>
      <t>요약</t>
    </r>
  </si>
  <si>
    <t xml:space="preserve">카드 사용 기간이 3월인 것 (결제는 4월 중순) </t>
  </si>
  <si>
    <r>
      <rPr>
        <sz val="10"/>
        <color theme="1"/>
        <rFont val="맑은 고딕"/>
        <family val="3"/>
        <charset val="129"/>
      </rPr>
      <t>민정 하나</t>
    </r>
    <r>
      <rPr>
        <sz val="10"/>
        <color theme="1"/>
        <rFont val="Arial"/>
      </rPr>
      <t xml:space="preserve"> </t>
    </r>
    <r>
      <rPr>
        <sz val="10"/>
        <color theme="1"/>
        <rFont val="맑은 고딕"/>
        <family val="3"/>
        <charset val="129"/>
      </rPr>
      <t>신용</t>
    </r>
  </si>
  <si>
    <t>복지카드 차감제외하면 6만원정도</t>
  </si>
  <si>
    <t>도쿄 항공 취소</t>
  </si>
  <si>
    <r>
      <rPr>
        <sz val="10"/>
        <color theme="1"/>
        <rFont val="맑은 고딕"/>
        <family val="3"/>
        <charset val="129"/>
      </rPr>
      <t>주유</t>
    </r>
    <r>
      <rPr>
        <sz val="10"/>
        <color theme="1"/>
        <rFont val="Arial"/>
      </rPr>
      <t xml:space="preserve">, </t>
    </r>
    <r>
      <rPr>
        <sz val="10"/>
        <color theme="1"/>
        <rFont val="맑은 고딕"/>
        <family val="3"/>
        <charset val="129"/>
      </rPr>
      <t>경점검</t>
    </r>
    <r>
      <rPr>
        <sz val="10"/>
        <color theme="1"/>
        <rFont val="Arial"/>
      </rPr>
      <t xml:space="preserve">, </t>
    </r>
    <r>
      <rPr>
        <sz val="10"/>
        <color theme="1"/>
        <rFont val="맑은 고딕"/>
        <family val="3"/>
        <charset val="129"/>
      </rPr>
      <t>톨비로 40만원 예산</t>
    </r>
  </si>
  <si>
    <r>
      <rPr>
        <sz val="10"/>
        <color theme="1"/>
        <rFont val="Arial"/>
      </rPr>
      <t>버팀목</t>
    </r>
    <r>
      <rPr>
        <sz val="10"/>
        <color theme="1"/>
        <rFont val="Arial"/>
      </rPr>
      <t xml:space="preserve"> 이자</t>
    </r>
  </si>
  <si>
    <r>
      <rPr>
        <sz val="10"/>
        <color theme="1"/>
        <rFont val="Arial"/>
      </rPr>
      <t>중기청</t>
    </r>
    <r>
      <rPr>
        <sz val="10"/>
        <color theme="1"/>
        <rFont val="Arial"/>
      </rPr>
      <t xml:space="preserve"> </t>
    </r>
    <r>
      <rPr>
        <sz val="10"/>
        <color theme="1"/>
        <rFont val="Arial"/>
      </rPr>
      <t>이자</t>
    </r>
  </si>
  <si>
    <r>
      <rPr>
        <sz val="10"/>
        <color theme="1"/>
        <rFont val="Arial"/>
      </rPr>
      <t>인터넷</t>
    </r>
  </si>
  <si>
    <r>
      <rPr>
        <sz val="10"/>
        <color theme="1"/>
        <rFont val="Arial"/>
      </rPr>
      <t xml:space="preserve">KB </t>
    </r>
    <r>
      <rPr>
        <sz val="10"/>
        <color theme="1"/>
        <rFont val="맑은 고딕"/>
        <family val="3"/>
        <charset val="129"/>
      </rPr>
      <t>손보 - 민정</t>
    </r>
  </si>
  <si>
    <r>
      <rPr>
        <sz val="10"/>
        <color theme="1"/>
        <rFont val="Arial"/>
      </rPr>
      <t xml:space="preserve">DB </t>
    </r>
    <r>
      <rPr>
        <sz val="10"/>
        <color theme="1"/>
        <rFont val="맑은 고딕"/>
        <family val="3"/>
        <charset val="129"/>
      </rPr>
      <t>손보 - 상휘</t>
    </r>
  </si>
  <si>
    <r>
      <rPr>
        <sz val="10"/>
        <color theme="1"/>
        <rFont val="Arial"/>
      </rPr>
      <t>넷플릭스</t>
    </r>
  </si>
  <si>
    <r>
      <rPr>
        <sz val="10"/>
        <color theme="1"/>
        <rFont val="Arial"/>
      </rPr>
      <t>친목</t>
    </r>
  </si>
  <si>
    <r>
      <rPr>
        <sz val="10"/>
        <color theme="1"/>
        <rFont val="맑은 고딕"/>
        <family val="3"/>
        <charset val="129"/>
      </rPr>
      <t>민정</t>
    </r>
    <r>
      <rPr>
        <sz val="10"/>
        <color theme="1"/>
        <rFont val="Arial"/>
      </rPr>
      <t xml:space="preserve"> </t>
    </r>
    <r>
      <rPr>
        <sz val="10"/>
        <color theme="1"/>
        <rFont val="맑은 고딕"/>
        <family val="3"/>
        <charset val="129"/>
      </rPr>
      <t>친구 곗돈</t>
    </r>
  </si>
  <si>
    <r>
      <rPr>
        <sz val="10"/>
        <color theme="1"/>
        <rFont val="Arial"/>
      </rPr>
      <t>기타</t>
    </r>
  </si>
  <si>
    <r>
      <rPr>
        <sz val="10"/>
        <color theme="1"/>
        <rFont val="Arial"/>
      </rPr>
      <t>관리비</t>
    </r>
  </si>
  <si>
    <r>
      <rPr>
        <sz val="10"/>
        <color theme="1"/>
        <rFont val="Arial"/>
      </rPr>
      <t>주거</t>
    </r>
  </si>
  <si>
    <r>
      <rPr>
        <sz val="10"/>
        <color theme="1"/>
        <rFont val="Arial"/>
      </rPr>
      <t>3</t>
    </r>
    <r>
      <rPr>
        <sz val="10"/>
        <color theme="1"/>
        <rFont val="맑은 고딕"/>
        <family val="3"/>
        <charset val="129"/>
      </rPr>
      <t>개월마다</t>
    </r>
  </si>
  <si>
    <r>
      <rPr>
        <sz val="10"/>
        <color theme="1"/>
        <rFont val="Arial"/>
      </rPr>
      <t>할부</t>
    </r>
    <r>
      <rPr>
        <sz val="10"/>
        <color theme="1"/>
        <rFont val="Arial"/>
      </rPr>
      <t xml:space="preserve"> </t>
    </r>
    <r>
      <rPr>
        <sz val="10"/>
        <color theme="1"/>
        <rFont val="Arial"/>
      </rPr>
      <t>잔액</t>
    </r>
  </si>
  <si>
    <r>
      <rPr>
        <sz val="10"/>
        <color theme="1"/>
        <rFont val="Arial"/>
      </rPr>
      <t>금액</t>
    </r>
  </si>
  <si>
    <t xml:space="preserve">4월 25일 ~ 5월 24일 </t>
  </si>
  <si>
    <t>상휘MS</t>
  </si>
  <si>
    <r>
      <rPr>
        <b/>
        <sz val="10"/>
        <color theme="1"/>
        <rFont val="맑은 고딕"/>
        <family val="3"/>
        <charset val="129"/>
      </rPr>
      <t>카드별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맑은 고딕"/>
        <family val="3"/>
        <charset val="129"/>
      </rPr>
      <t>지출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맑은 고딕"/>
        <family val="3"/>
        <charset val="129"/>
      </rPr>
      <t>요약</t>
    </r>
  </si>
  <si>
    <t xml:space="preserve">카드 사용 기간이 4월인 것 (결제는 5월 중순) </t>
  </si>
  <si>
    <r>
      <rPr>
        <sz val="10"/>
        <color theme="1"/>
        <rFont val="맑은 고딕"/>
        <family val="3"/>
        <charset val="129"/>
      </rPr>
      <t>민정 하나</t>
    </r>
    <r>
      <rPr>
        <sz val="10"/>
        <color theme="1"/>
        <rFont val="Arial"/>
      </rPr>
      <t xml:space="preserve"> </t>
    </r>
    <r>
      <rPr>
        <sz val="10"/>
        <color theme="1"/>
        <rFont val="맑은 고딕"/>
        <family val="3"/>
        <charset val="129"/>
      </rPr>
      <t>신용</t>
    </r>
  </si>
  <si>
    <t>본식앨범, 항공수수료 등</t>
  </si>
  <si>
    <t>주유, 경점검, 톨비로 40만원 예산인데, 이번에 현금 중도금 이슈로 카드를 씀</t>
  </si>
  <si>
    <t xml:space="preserve">민정 하나 </t>
  </si>
  <si>
    <t xml:space="preserve">자동이체 </t>
  </si>
  <si>
    <r>
      <rPr>
        <sz val="10"/>
        <color theme="1"/>
        <rFont val="Arial"/>
      </rPr>
      <t>버팀목</t>
    </r>
    <r>
      <rPr>
        <sz val="10"/>
        <color theme="1"/>
        <rFont val="Arial"/>
      </rPr>
      <t xml:space="preserve"> 이자</t>
    </r>
  </si>
  <si>
    <t>비고정</t>
  </si>
  <si>
    <r>
      <rPr>
        <sz val="10"/>
        <color theme="1"/>
        <rFont val="Arial"/>
      </rPr>
      <t>중기청</t>
    </r>
    <r>
      <rPr>
        <sz val="10"/>
        <color theme="1"/>
        <rFont val="Arial"/>
      </rPr>
      <t xml:space="preserve"> </t>
    </r>
    <r>
      <rPr>
        <sz val="10"/>
        <color theme="1"/>
        <rFont val="Arial"/>
      </rPr>
      <t>이자</t>
    </r>
  </si>
  <si>
    <r>
      <rPr>
        <sz val="10"/>
        <color theme="1"/>
        <rFont val="Arial"/>
      </rPr>
      <t>인터넷</t>
    </r>
  </si>
  <si>
    <r>
      <rPr>
        <sz val="10"/>
        <color theme="1"/>
        <rFont val="Arial"/>
      </rPr>
      <t xml:space="preserve">KB </t>
    </r>
    <r>
      <rPr>
        <sz val="10"/>
        <color theme="1"/>
        <rFont val="맑은 고딕"/>
        <family val="3"/>
        <charset val="129"/>
      </rPr>
      <t>손보 - 민정</t>
    </r>
  </si>
  <si>
    <r>
      <rPr>
        <sz val="10"/>
        <color theme="1"/>
        <rFont val="Arial"/>
      </rPr>
      <t xml:space="preserve">DB </t>
    </r>
    <r>
      <rPr>
        <sz val="10"/>
        <color theme="1"/>
        <rFont val="맑은 고딕"/>
        <family val="3"/>
        <charset val="129"/>
      </rPr>
      <t>손보 - 상휘</t>
    </r>
  </si>
  <si>
    <t>토스 : 85 만원 입금</t>
  </si>
  <si>
    <t>비고정비 75만원 넣기</t>
  </si>
  <si>
    <t>자동이체가 62만원 예정</t>
  </si>
  <si>
    <r>
      <rPr>
        <sz val="10"/>
        <color theme="1"/>
        <rFont val="Arial"/>
      </rPr>
      <t>넷플릭스</t>
    </r>
  </si>
  <si>
    <r>
      <rPr>
        <sz val="10"/>
        <color theme="1"/>
        <rFont val="Arial"/>
      </rPr>
      <t>친목</t>
    </r>
  </si>
  <si>
    <r>
      <rPr>
        <sz val="10"/>
        <color theme="1"/>
        <rFont val="맑은 고딕"/>
        <family val="3"/>
        <charset val="129"/>
      </rPr>
      <t>민정</t>
    </r>
    <r>
      <rPr>
        <sz val="10"/>
        <color theme="1"/>
        <rFont val="Arial"/>
      </rPr>
      <t xml:space="preserve"> </t>
    </r>
    <r>
      <rPr>
        <sz val="10"/>
        <color theme="1"/>
        <rFont val="맑은 고딕"/>
        <family val="3"/>
        <charset val="129"/>
      </rPr>
      <t>친구 곗돈</t>
    </r>
  </si>
  <si>
    <t>생활비, 상휘 하나카드는 고려 X</t>
  </si>
  <si>
    <r>
      <rPr>
        <sz val="10"/>
        <color theme="1"/>
        <rFont val="Arial"/>
      </rPr>
      <t>기타</t>
    </r>
  </si>
  <si>
    <r>
      <rPr>
        <sz val="10"/>
        <color theme="1"/>
        <rFont val="Arial"/>
      </rPr>
      <t>관리비</t>
    </r>
  </si>
  <si>
    <t>이번엔 저번달에 이미 냄</t>
  </si>
  <si>
    <r>
      <rPr>
        <sz val="10"/>
        <color theme="1"/>
        <rFont val="Arial"/>
      </rPr>
      <t>주거</t>
    </r>
  </si>
  <si>
    <r>
      <rPr>
        <sz val="10"/>
        <color theme="1"/>
        <rFont val="Arial"/>
      </rPr>
      <t>3</t>
    </r>
    <r>
      <rPr>
        <sz val="10"/>
        <color theme="1"/>
        <rFont val="맑은 고딕"/>
        <family val="3"/>
        <charset val="129"/>
      </rPr>
      <t>개월마다</t>
    </r>
  </si>
  <si>
    <r>
      <rPr>
        <sz val="10"/>
        <color theme="1"/>
        <rFont val="Arial"/>
      </rPr>
      <t>할부</t>
    </r>
    <r>
      <rPr>
        <sz val="10"/>
        <color theme="1"/>
        <rFont val="Arial"/>
      </rPr>
      <t xml:space="preserve"> </t>
    </r>
    <r>
      <rPr>
        <sz val="10"/>
        <color theme="1"/>
        <rFont val="Arial"/>
      </rPr>
      <t>잔액</t>
    </r>
  </si>
  <si>
    <r>
      <rPr>
        <sz val="10"/>
        <color theme="1"/>
        <rFont val="Arial"/>
      </rPr>
      <t>금액</t>
    </r>
  </si>
  <si>
    <t>상휘네 진급식 식사+꽃</t>
  </si>
  <si>
    <t>민정네 어버이날용돈</t>
  </si>
  <si>
    <t>민정 대만 환전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</si>
</sst>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m/d"/>
  </numFmts>
  <fonts count="1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0"/>
      <color theme="1"/>
      <name val="Arial"/>
    </font>
    <font>
      <b/>
      <sz val="10"/>
      <color theme="1"/>
      <name val="Malgun Gothic"/>
      <family val="3"/>
      <charset val="129"/>
    </font>
    <font>
      <b/>
      <sz val="10"/>
      <color rgb="FF000000"/>
      <name val="Arial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8"/>
      <name val="Arial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2F1DA"/>
        <bgColor rgb="FFD2F1DA"/>
      </patternFill>
    </fill>
    <fill>
      <patternFill patternType="solid">
        <fgColor rgb="FFFFE599"/>
        <bgColor rgb="FFFFE599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FEF1CC"/>
        <bgColor rgb="FFFEF1CC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7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double">
        <color rgb="FF4A86E8"/>
      </right>
      <top/>
      <bottom/>
      <diagonal/>
    </border>
    <border>
      <left/>
      <right style="double">
        <color rgb="FF4A86E8"/>
      </right>
      <top/>
      <bottom style="double">
        <color rgb="FF4A86E8"/>
      </bottom>
      <diagonal/>
    </border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/>
      <top/>
      <bottom style="medium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medium">
        <color theme="4"/>
      </right>
      <top/>
      <bottom/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double">
        <color rgb="FF4285F4"/>
      </right>
      <top/>
      <bottom style="double">
        <color rgb="FF4285F4"/>
      </bottom>
      <diagonal/>
    </border>
    <border>
      <left style="double">
        <color rgb="FF4285F4"/>
      </left>
      <right style="double">
        <color rgb="FF4285F4"/>
      </right>
      <top/>
      <bottom style="double">
        <color rgb="FF4285F4"/>
      </bottom>
      <diagonal/>
    </border>
    <border>
      <left style="double">
        <color rgb="FF4285F4"/>
      </left>
      <right style="medium">
        <color theme="4"/>
      </right>
      <top style="medium">
        <color theme="4"/>
      </top>
      <bottom style="double">
        <color rgb="FF4285F4"/>
      </bottom>
      <diagonal/>
    </border>
    <border>
      <left/>
      <right style="double">
        <color rgb="FF4285F4"/>
      </right>
      <top style="double">
        <color rgb="FF4285F4"/>
      </top>
      <bottom style="double">
        <color rgb="FF4285F4"/>
      </bottom>
      <diagonal/>
    </border>
    <border>
      <left style="double">
        <color rgb="FF4285F4"/>
      </left>
      <right style="double">
        <color rgb="FF4285F4"/>
      </right>
      <top style="double">
        <color rgb="FF4285F4"/>
      </top>
      <bottom style="double">
        <color rgb="FF4285F4"/>
      </bottom>
      <diagonal/>
    </border>
    <border>
      <left style="double">
        <color rgb="FF4285F4"/>
      </left>
      <right style="thick">
        <color rgb="FF3D85C6"/>
      </right>
      <top style="double">
        <color rgb="FF4285F4"/>
      </top>
      <bottom style="double">
        <color rgb="FF4285F4"/>
      </bottom>
      <diagonal/>
    </border>
    <border>
      <left style="double">
        <color rgb="FF4285F4"/>
      </left>
      <right style="medium">
        <color theme="4"/>
      </right>
      <top style="double">
        <color rgb="FF4285F4"/>
      </top>
      <bottom style="double">
        <color rgb="FF4285F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theme="4"/>
      </left>
      <right/>
      <top style="double">
        <color rgb="FF4285F4"/>
      </top>
      <bottom style="medium">
        <color theme="4"/>
      </bottom>
      <diagonal/>
    </border>
    <border>
      <left/>
      <right/>
      <top style="double">
        <color rgb="FF4285F4"/>
      </top>
      <bottom style="medium">
        <color theme="4"/>
      </bottom>
      <diagonal/>
    </border>
    <border>
      <left/>
      <right style="medium">
        <color theme="4"/>
      </right>
      <top style="double">
        <color rgb="FF4285F4"/>
      </top>
      <bottom style="medium">
        <color theme="4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 style="double">
        <color rgb="FF4A86E8"/>
      </right>
      <top/>
      <bottom style="thin">
        <color rgb="FF999999"/>
      </bottom>
      <diagonal/>
    </border>
    <border>
      <left/>
      <right style="double">
        <color rgb="FF4A86E8"/>
      </right>
      <top/>
      <bottom style="double">
        <color rgb="FF4A86E8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/>
      <bottom/>
      <diagonal/>
    </border>
    <border>
      <left/>
      <right style="double">
        <color theme="4"/>
      </right>
      <top style="thin">
        <color rgb="FF999999"/>
      </top>
      <bottom style="thin">
        <color rgb="FF999999"/>
      </bottom>
      <diagonal/>
    </border>
    <border>
      <left style="double">
        <color theme="4"/>
      </left>
      <right style="thin">
        <color rgb="FF999999"/>
      </right>
      <top style="double">
        <color theme="4"/>
      </top>
      <bottom style="double">
        <color theme="4"/>
      </bottom>
      <diagonal/>
    </border>
    <border>
      <left style="thin">
        <color rgb="FF999999"/>
      </left>
      <right style="double">
        <color theme="4"/>
      </right>
      <top style="double">
        <color theme="4"/>
      </top>
      <bottom style="double">
        <color theme="4"/>
      </bottom>
      <diagonal/>
    </border>
    <border>
      <left/>
      <right style="double">
        <color theme="4"/>
      </right>
      <top/>
      <bottom style="thin">
        <color rgb="FF999999"/>
      </bottom>
      <diagonal/>
    </border>
    <border>
      <left style="double">
        <color theme="4"/>
      </left>
      <right style="thin">
        <color rgb="FF999999"/>
      </right>
      <top/>
      <bottom style="double">
        <color theme="4"/>
      </bottom>
      <diagonal/>
    </border>
    <border>
      <left style="thin">
        <color rgb="FF999999"/>
      </left>
      <right style="double">
        <color theme="4"/>
      </right>
      <top/>
      <bottom style="double">
        <color theme="4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double">
        <color rgb="FF4285F4"/>
      </left>
      <right style="double">
        <color rgb="FF4285F4"/>
      </right>
      <top style="double">
        <color rgb="FF4285F4"/>
      </top>
      <bottom/>
      <diagonal/>
    </border>
    <border>
      <left style="double">
        <color rgb="FF4285F4"/>
      </left>
      <right style="double">
        <color rgb="FF4285F4"/>
      </right>
      <top/>
      <bottom/>
      <diagonal/>
    </border>
    <border>
      <left style="thin">
        <color rgb="FF666666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000000"/>
      </left>
      <right style="thin">
        <color rgb="FF999999"/>
      </right>
      <top/>
      <bottom style="thin">
        <color rgb="FF999999"/>
      </bottom>
      <diagonal/>
    </border>
    <border>
      <left style="double">
        <color rgb="FF4285F4"/>
      </left>
      <right style="thin">
        <color rgb="FF999999"/>
      </right>
      <top style="double">
        <color rgb="FF4285F4"/>
      </top>
      <bottom style="thin">
        <color rgb="FF999999"/>
      </bottom>
      <diagonal/>
    </border>
    <border>
      <left/>
      <right style="thin">
        <color rgb="FF999999"/>
      </right>
      <top style="double">
        <color rgb="FF4285F4"/>
      </top>
      <bottom style="thin">
        <color rgb="FF999999"/>
      </bottom>
      <diagonal/>
    </border>
    <border>
      <left/>
      <right/>
      <top style="double">
        <color rgb="FF4285F4"/>
      </top>
      <bottom style="thin">
        <color rgb="FF999999"/>
      </bottom>
      <diagonal/>
    </border>
    <border>
      <left/>
      <right style="double">
        <color rgb="FF4285F4"/>
      </right>
      <top style="double">
        <color rgb="FF4285F4"/>
      </top>
      <bottom style="thin">
        <color rgb="FF999999"/>
      </bottom>
      <diagonal/>
    </border>
    <border>
      <left style="double">
        <color rgb="FF4285F4"/>
      </left>
      <right/>
      <top/>
      <bottom style="thin">
        <color rgb="FF999999"/>
      </bottom>
      <diagonal/>
    </border>
    <border>
      <left/>
      <right style="double">
        <color rgb="FF4285F4"/>
      </right>
      <top/>
      <bottom style="thin">
        <color rgb="FF999999"/>
      </bottom>
      <diagonal/>
    </border>
    <border>
      <left style="double">
        <color rgb="FF4285F4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double">
        <color rgb="FF4285F4"/>
      </bottom>
      <diagonal/>
    </border>
    <border>
      <left/>
      <right style="thin">
        <color rgb="FF999999"/>
      </right>
      <top style="thin">
        <color rgb="FF999999"/>
      </top>
      <bottom style="double">
        <color rgb="FF4285F4"/>
      </bottom>
      <diagonal/>
    </border>
    <border>
      <left style="thin">
        <color rgb="FF999999"/>
      </left>
      <right/>
      <top style="double">
        <color rgb="FF4A86E8"/>
      </top>
      <bottom style="thin">
        <color rgb="FF999999"/>
      </bottom>
      <diagonal/>
    </border>
    <border>
      <left/>
      <right style="thin">
        <color rgb="FF999999"/>
      </right>
      <top style="double">
        <color rgb="FF4A86E8"/>
      </top>
      <bottom style="thin">
        <color rgb="FF999999"/>
      </bottom>
      <diagonal/>
    </border>
    <border>
      <left/>
      <right/>
      <top style="double">
        <color rgb="FF4A86E8"/>
      </top>
      <bottom style="thin">
        <color rgb="FF999999"/>
      </bottom>
      <diagonal/>
    </border>
    <border>
      <left style="thin">
        <color rgb="FF666666"/>
      </left>
      <right/>
      <top/>
      <bottom style="thin">
        <color rgb="FF999999"/>
      </bottom>
      <diagonal/>
    </border>
    <border>
      <left style="double">
        <color rgb="FF4285F4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2" borderId="1" xfId="0" applyFont="1" applyFill="1" applyBorder="1" applyAlignment="1">
      <alignment horizontal="center"/>
    </xf>
    <xf numFmtId="176" fontId="2" fillId="0" borderId="1" xfId="0" applyNumberFormat="1" applyFont="1" applyBorder="1"/>
    <xf numFmtId="3" fontId="2" fillId="3" borderId="1" xfId="0" applyNumberFormat="1" applyFont="1" applyFill="1" applyBorder="1"/>
    <xf numFmtId="3" fontId="2" fillId="0" borderId="1" xfId="0" applyNumberFormat="1" applyFont="1" applyBorder="1"/>
    <xf numFmtId="0" fontId="2" fillId="4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3" fontId="4" fillId="7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0" xfId="0" applyFont="1"/>
    <xf numFmtId="3" fontId="8" fillId="0" borderId="0" xfId="0" applyNumberFormat="1" applyFont="1" applyAlignment="1">
      <alignment vertical="center"/>
    </xf>
    <xf numFmtId="3" fontId="6" fillId="0" borderId="14" xfId="0" applyNumberFormat="1" applyFont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3" fontId="6" fillId="8" borderId="16" xfId="0" applyNumberFormat="1" applyFont="1" applyFill="1" applyBorder="1" applyAlignment="1">
      <alignment horizontal="center" vertical="center"/>
    </xf>
    <xf numFmtId="3" fontId="6" fillId="0" borderId="17" xfId="0" applyNumberFormat="1" applyFont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3" fontId="6" fillId="0" borderId="18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/>
    </xf>
    <xf numFmtId="3" fontId="6" fillId="0" borderId="21" xfId="0" applyNumberFormat="1" applyFont="1" applyBorder="1" applyAlignment="1">
      <alignment horizontal="center" vertical="center"/>
    </xf>
    <xf numFmtId="3" fontId="6" fillId="7" borderId="25" xfId="0" applyNumberFormat="1" applyFont="1" applyFill="1" applyBorder="1" applyAlignment="1">
      <alignment horizontal="center" vertical="center"/>
    </xf>
    <xf numFmtId="3" fontId="6" fillId="0" borderId="26" xfId="0" applyNumberFormat="1" applyFont="1" applyBorder="1" applyAlignment="1">
      <alignment horizontal="center" vertical="center"/>
    </xf>
    <xf numFmtId="3" fontId="6" fillId="0" borderId="27" xfId="0" applyNumberFormat="1" applyFont="1" applyBorder="1" applyAlignment="1">
      <alignment horizontal="center" vertical="center"/>
    </xf>
    <xf numFmtId="3" fontId="6" fillId="0" borderId="28" xfId="0" applyNumberFormat="1" applyFont="1" applyBorder="1" applyAlignment="1">
      <alignment horizontal="center" vertical="center"/>
    </xf>
    <xf numFmtId="3" fontId="6" fillId="11" borderId="25" xfId="0" applyNumberFormat="1" applyFont="1" applyFill="1" applyBorder="1" applyAlignment="1">
      <alignment horizontal="center" vertical="center"/>
    </xf>
    <xf numFmtId="3" fontId="6" fillId="0" borderId="29" xfId="0" applyNumberFormat="1" applyFont="1" applyBorder="1" applyAlignment="1">
      <alignment horizontal="center" vertical="center"/>
    </xf>
    <xf numFmtId="3" fontId="6" fillId="0" borderId="30" xfId="0" applyNumberFormat="1" applyFont="1" applyBorder="1" applyAlignment="1">
      <alignment horizontal="center" vertical="center"/>
    </xf>
    <xf numFmtId="3" fontId="6" fillId="0" borderId="31" xfId="0" applyNumberFormat="1" applyFont="1" applyBorder="1" applyAlignment="1">
      <alignment horizontal="center" vertical="center"/>
    </xf>
    <xf numFmtId="3" fontId="6" fillId="0" borderId="32" xfId="0" applyNumberFormat="1" applyFont="1" applyBorder="1" applyAlignment="1">
      <alignment horizontal="center" vertical="center"/>
    </xf>
    <xf numFmtId="3" fontId="6" fillId="2" borderId="33" xfId="0" applyNumberFormat="1" applyFont="1" applyFill="1" applyBorder="1" applyAlignment="1">
      <alignment horizontal="center" vertical="center"/>
    </xf>
    <xf numFmtId="3" fontId="6" fillId="0" borderId="33" xfId="0" applyNumberFormat="1" applyFont="1" applyBorder="1" applyAlignment="1">
      <alignment horizontal="center" vertical="center"/>
    </xf>
    <xf numFmtId="3" fontId="6" fillId="0" borderId="37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3" fontId="6" fillId="0" borderId="38" xfId="0" applyNumberFormat="1" applyFont="1" applyBorder="1" applyAlignment="1">
      <alignment horizontal="center" vertical="center"/>
    </xf>
    <xf numFmtId="3" fontId="6" fillId="7" borderId="30" xfId="0" applyNumberFormat="1" applyFont="1" applyFill="1" applyBorder="1" applyAlignment="1">
      <alignment horizontal="center" vertical="center"/>
    </xf>
    <xf numFmtId="3" fontId="6" fillId="11" borderId="30" xfId="0" applyNumberFormat="1" applyFont="1" applyFill="1" applyBorder="1" applyAlignment="1">
      <alignment horizontal="center" vertical="center"/>
    </xf>
    <xf numFmtId="3" fontId="6" fillId="12" borderId="45" xfId="0" applyNumberFormat="1" applyFont="1" applyFill="1" applyBorder="1" applyAlignment="1">
      <alignment horizontal="center" vertical="center"/>
    </xf>
    <xf numFmtId="3" fontId="6" fillId="13" borderId="45" xfId="0" applyNumberFormat="1" applyFont="1" applyFill="1" applyBorder="1" applyAlignment="1">
      <alignment horizontal="center" vertical="center"/>
    </xf>
    <xf numFmtId="3" fontId="6" fillId="14" borderId="45" xfId="0" applyNumberFormat="1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left" vertical="center"/>
    </xf>
    <xf numFmtId="3" fontId="6" fillId="0" borderId="46" xfId="0" applyNumberFormat="1" applyFont="1" applyBorder="1" applyAlignment="1">
      <alignment horizontal="center" vertical="center"/>
    </xf>
    <xf numFmtId="3" fontId="6" fillId="7" borderId="47" xfId="0" applyNumberFormat="1" applyFont="1" applyFill="1" applyBorder="1" applyAlignment="1">
      <alignment horizontal="center" vertical="center"/>
    </xf>
    <xf numFmtId="3" fontId="6" fillId="11" borderId="47" xfId="0" applyNumberFormat="1" applyFont="1" applyFill="1" applyBorder="1" applyAlignment="1">
      <alignment horizontal="center" vertical="center"/>
    </xf>
    <xf numFmtId="3" fontId="6" fillId="12" borderId="33" xfId="0" applyNumberFormat="1" applyFont="1" applyFill="1" applyBorder="1" applyAlignment="1">
      <alignment horizontal="center" vertical="center"/>
    </xf>
    <xf numFmtId="3" fontId="6" fillId="13" borderId="33" xfId="0" applyNumberFormat="1" applyFont="1" applyFill="1" applyBorder="1" applyAlignment="1">
      <alignment horizontal="center" vertical="center"/>
    </xf>
    <xf numFmtId="3" fontId="6" fillId="14" borderId="33" xfId="0" applyNumberFormat="1" applyFont="1" applyFill="1" applyBorder="1" applyAlignment="1">
      <alignment horizontal="center" vertical="center"/>
    </xf>
    <xf numFmtId="3" fontId="6" fillId="0" borderId="44" xfId="0" applyNumberFormat="1" applyFont="1" applyBorder="1" applyAlignment="1">
      <alignment horizontal="center" vertical="center"/>
    </xf>
    <xf numFmtId="3" fontId="6" fillId="11" borderId="45" xfId="0" applyNumberFormat="1" applyFont="1" applyFill="1" applyBorder="1" applyAlignment="1">
      <alignment horizontal="center" vertical="center"/>
    </xf>
    <xf numFmtId="3" fontId="9" fillId="0" borderId="0" xfId="0" applyNumberFormat="1" applyFont="1" applyAlignment="1">
      <alignment horizontal="left" vertical="center"/>
    </xf>
    <xf numFmtId="3" fontId="6" fillId="0" borderId="37" xfId="0" applyNumberFormat="1" applyFont="1" applyBorder="1" applyAlignment="1">
      <alignment horizontal="left" vertical="center"/>
    </xf>
    <xf numFmtId="3" fontId="6" fillId="0" borderId="40" xfId="0" applyNumberFormat="1" applyFont="1" applyBorder="1" applyAlignment="1">
      <alignment horizontal="center" vertical="center"/>
    </xf>
    <xf numFmtId="3" fontId="6" fillId="15" borderId="49" xfId="0" applyNumberFormat="1" applyFont="1" applyFill="1" applyBorder="1" applyAlignment="1">
      <alignment horizontal="center" vertical="center"/>
    </xf>
    <xf numFmtId="3" fontId="6" fillId="8" borderId="50" xfId="0" applyNumberFormat="1" applyFont="1" applyFill="1" applyBorder="1" applyAlignment="1">
      <alignment horizontal="center" vertical="center"/>
    </xf>
    <xf numFmtId="3" fontId="6" fillId="0" borderId="51" xfId="0" applyNumberFormat="1" applyFont="1" applyBorder="1" applyAlignment="1">
      <alignment horizontal="center" vertical="center"/>
    </xf>
    <xf numFmtId="3" fontId="6" fillId="15" borderId="52" xfId="0" applyNumberFormat="1" applyFont="1" applyFill="1" applyBorder="1" applyAlignment="1">
      <alignment horizontal="center" vertical="center"/>
    </xf>
    <xf numFmtId="3" fontId="6" fillId="8" borderId="53" xfId="0" applyNumberFormat="1" applyFont="1" applyFill="1" applyBorder="1" applyAlignment="1">
      <alignment horizontal="center" vertical="center"/>
    </xf>
    <xf numFmtId="3" fontId="6" fillId="0" borderId="54" xfId="0" applyNumberFormat="1" applyFont="1" applyBorder="1" applyAlignment="1">
      <alignment horizontal="center" vertical="center"/>
    </xf>
    <xf numFmtId="3" fontId="6" fillId="15" borderId="55" xfId="0" applyNumberFormat="1" applyFont="1" applyFill="1" applyBorder="1" applyAlignment="1">
      <alignment horizontal="center" vertical="center"/>
    </xf>
    <xf numFmtId="3" fontId="6" fillId="0" borderId="56" xfId="0" applyNumberFormat="1" applyFont="1" applyBorder="1" applyAlignment="1">
      <alignment horizontal="center" vertical="center"/>
    </xf>
    <xf numFmtId="3" fontId="6" fillId="15" borderId="45" xfId="0" applyNumberFormat="1" applyFont="1" applyFill="1" applyBorder="1" applyAlignment="1">
      <alignment horizontal="center" vertical="center"/>
    </xf>
    <xf numFmtId="3" fontId="6" fillId="16" borderId="30" xfId="0" applyNumberFormat="1" applyFont="1" applyFill="1" applyBorder="1" applyAlignment="1">
      <alignment horizontal="center" vertical="center"/>
    </xf>
    <xf numFmtId="3" fontId="6" fillId="12" borderId="61" xfId="0" applyNumberFormat="1" applyFont="1" applyFill="1" applyBorder="1" applyAlignment="1">
      <alignment horizontal="center" vertical="center"/>
    </xf>
    <xf numFmtId="3" fontId="6" fillId="8" borderId="30" xfId="0" applyNumberFormat="1" applyFont="1" applyFill="1" applyBorder="1" applyAlignment="1">
      <alignment horizontal="center" vertical="center"/>
    </xf>
    <xf numFmtId="3" fontId="6" fillId="15" borderId="63" xfId="0" applyNumberFormat="1" applyFont="1" applyFill="1" applyBorder="1" applyAlignment="1">
      <alignment horizontal="center" vertical="center"/>
    </xf>
    <xf numFmtId="3" fontId="6" fillId="0" borderId="64" xfId="0" applyNumberFormat="1" applyFont="1" applyBorder="1" applyAlignment="1">
      <alignment horizontal="center" vertical="center"/>
    </xf>
    <xf numFmtId="3" fontId="6" fillId="0" borderId="65" xfId="0" applyNumberFormat="1" applyFont="1" applyBorder="1" applyAlignment="1">
      <alignment horizontal="center" vertical="center"/>
    </xf>
    <xf numFmtId="3" fontId="6" fillId="0" borderId="69" xfId="0" applyNumberFormat="1" applyFont="1" applyBorder="1" applyAlignment="1">
      <alignment horizontal="center" vertical="center"/>
    </xf>
    <xf numFmtId="177" fontId="6" fillId="0" borderId="70" xfId="0" applyNumberFormat="1" applyFont="1" applyBorder="1" applyAlignment="1">
      <alignment horizontal="center" vertical="center"/>
    </xf>
    <xf numFmtId="3" fontId="6" fillId="8" borderId="45" xfId="0" applyNumberFormat="1" applyFont="1" applyFill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3" fontId="4" fillId="8" borderId="16" xfId="0" applyNumberFormat="1" applyFont="1" applyFill="1" applyBorder="1" applyAlignment="1">
      <alignment horizontal="center" vertical="center"/>
    </xf>
    <xf numFmtId="3" fontId="4" fillId="0" borderId="17" xfId="0" applyNumberFormat="1" applyFont="1" applyBorder="1" applyAlignment="1">
      <alignment horizontal="center" vertical="center"/>
    </xf>
    <xf numFmtId="3" fontId="4" fillId="0" borderId="18" xfId="0" applyNumberFormat="1" applyFont="1" applyBorder="1" applyAlignment="1">
      <alignment horizontal="center" vertical="center"/>
    </xf>
    <xf numFmtId="3" fontId="4" fillId="0" borderId="21" xfId="0" applyNumberFormat="1" applyFont="1" applyBorder="1" applyAlignment="1">
      <alignment horizontal="center" vertical="center"/>
    </xf>
    <xf numFmtId="3" fontId="4" fillId="7" borderId="25" xfId="0" applyNumberFormat="1" applyFont="1" applyFill="1" applyBorder="1" applyAlignment="1">
      <alignment horizontal="center" vertical="center"/>
    </xf>
    <xf numFmtId="3" fontId="4" fillId="11" borderId="25" xfId="0" applyNumberFormat="1" applyFont="1" applyFill="1" applyBorder="1" applyAlignment="1">
      <alignment horizontal="center" vertical="center"/>
    </xf>
    <xf numFmtId="3" fontId="4" fillId="0" borderId="30" xfId="0" applyNumberFormat="1" applyFont="1" applyBorder="1" applyAlignment="1">
      <alignment horizontal="center" vertical="center"/>
    </xf>
    <xf numFmtId="3" fontId="4" fillId="0" borderId="31" xfId="0" applyNumberFormat="1" applyFont="1" applyBorder="1" applyAlignment="1">
      <alignment horizontal="center" vertical="center"/>
    </xf>
    <xf numFmtId="3" fontId="4" fillId="0" borderId="32" xfId="0" applyNumberFormat="1" applyFont="1" applyBorder="1" applyAlignment="1">
      <alignment horizontal="center" vertical="center"/>
    </xf>
    <xf numFmtId="3" fontId="4" fillId="2" borderId="33" xfId="0" applyNumberFormat="1" applyFont="1" applyFill="1" applyBorder="1" applyAlignment="1">
      <alignment horizontal="center" vertical="center"/>
    </xf>
    <xf numFmtId="3" fontId="4" fillId="0" borderId="33" xfId="0" applyNumberFormat="1" applyFont="1" applyBorder="1" applyAlignment="1">
      <alignment horizontal="center" vertical="center"/>
    </xf>
    <xf numFmtId="3" fontId="4" fillId="0" borderId="37" xfId="0" applyNumberFormat="1" applyFont="1" applyBorder="1" applyAlignment="1">
      <alignment horizontal="center" vertical="center"/>
    </xf>
    <xf numFmtId="3" fontId="4" fillId="0" borderId="38" xfId="0" applyNumberFormat="1" applyFont="1" applyBorder="1" applyAlignment="1">
      <alignment horizontal="center" vertical="center"/>
    </xf>
    <xf numFmtId="3" fontId="4" fillId="7" borderId="30" xfId="0" applyNumberFormat="1" applyFont="1" applyFill="1" applyBorder="1" applyAlignment="1">
      <alignment horizontal="center" vertical="center"/>
    </xf>
    <xf numFmtId="3" fontId="4" fillId="11" borderId="30" xfId="0" applyNumberFormat="1" applyFont="1" applyFill="1" applyBorder="1" applyAlignment="1">
      <alignment horizontal="center" vertical="center"/>
    </xf>
    <xf numFmtId="3" fontId="4" fillId="12" borderId="45" xfId="0" applyNumberFormat="1" applyFont="1" applyFill="1" applyBorder="1" applyAlignment="1">
      <alignment horizontal="center" vertical="center"/>
    </xf>
    <xf numFmtId="3" fontId="4" fillId="13" borderId="45" xfId="0" applyNumberFormat="1" applyFont="1" applyFill="1" applyBorder="1" applyAlignment="1">
      <alignment horizontal="center" vertical="center"/>
    </xf>
    <xf numFmtId="3" fontId="4" fillId="14" borderId="45" xfId="0" applyNumberFormat="1" applyFont="1" applyFill="1" applyBorder="1" applyAlignment="1">
      <alignment horizontal="center" vertical="center"/>
    </xf>
    <xf numFmtId="3" fontId="4" fillId="0" borderId="46" xfId="0" applyNumberFormat="1" applyFont="1" applyBorder="1" applyAlignment="1">
      <alignment horizontal="center" vertical="center"/>
    </xf>
    <xf numFmtId="3" fontId="4" fillId="7" borderId="47" xfId="0" applyNumberFormat="1" applyFont="1" applyFill="1" applyBorder="1" applyAlignment="1">
      <alignment horizontal="center" vertical="center"/>
    </xf>
    <xf numFmtId="3" fontId="4" fillId="11" borderId="47" xfId="0" applyNumberFormat="1" applyFont="1" applyFill="1" applyBorder="1" applyAlignment="1">
      <alignment horizontal="center" vertical="center"/>
    </xf>
    <xf numFmtId="3" fontId="4" fillId="12" borderId="33" xfId="0" applyNumberFormat="1" applyFont="1" applyFill="1" applyBorder="1" applyAlignment="1">
      <alignment horizontal="center" vertical="center"/>
    </xf>
    <xf numFmtId="3" fontId="4" fillId="13" borderId="33" xfId="0" applyNumberFormat="1" applyFont="1" applyFill="1" applyBorder="1" applyAlignment="1">
      <alignment horizontal="center" vertical="center"/>
    </xf>
    <xf numFmtId="3" fontId="4" fillId="14" borderId="33" xfId="0" applyNumberFormat="1" applyFont="1" applyFill="1" applyBorder="1" applyAlignment="1">
      <alignment horizontal="center" vertical="center"/>
    </xf>
    <xf numFmtId="3" fontId="4" fillId="0" borderId="44" xfId="0" applyNumberFormat="1" applyFont="1" applyBorder="1" applyAlignment="1">
      <alignment horizontal="center" vertical="center"/>
    </xf>
    <xf numFmtId="3" fontId="8" fillId="0" borderId="0" xfId="0" applyNumberFormat="1" applyFont="1" applyAlignment="1">
      <alignment horizontal="left" vertical="center"/>
    </xf>
    <xf numFmtId="3" fontId="4" fillId="0" borderId="37" xfId="0" applyNumberFormat="1" applyFont="1" applyBorder="1" applyAlignment="1">
      <alignment horizontal="left" vertical="center"/>
    </xf>
    <xf numFmtId="3" fontId="4" fillId="0" borderId="0" xfId="0" applyNumberFormat="1" applyFont="1" applyAlignment="1">
      <alignment horizontal="left" vertical="center"/>
    </xf>
    <xf numFmtId="3" fontId="4" fillId="0" borderId="40" xfId="0" applyNumberFormat="1" applyFont="1" applyBorder="1" applyAlignment="1">
      <alignment horizontal="center" vertical="center"/>
    </xf>
    <xf numFmtId="3" fontId="4" fillId="15" borderId="49" xfId="0" applyNumberFormat="1" applyFont="1" applyFill="1" applyBorder="1" applyAlignment="1">
      <alignment horizontal="center" vertical="center"/>
    </xf>
    <xf numFmtId="3" fontId="4" fillId="8" borderId="53" xfId="0" applyNumberFormat="1" applyFont="1" applyFill="1" applyBorder="1" applyAlignment="1">
      <alignment horizontal="center" vertical="center"/>
    </xf>
    <xf numFmtId="3" fontId="4" fillId="0" borderId="51" xfId="0" applyNumberFormat="1" applyFont="1" applyBorder="1" applyAlignment="1">
      <alignment horizontal="center" vertical="center"/>
    </xf>
    <xf numFmtId="3" fontId="4" fillId="15" borderId="52" xfId="0" applyNumberFormat="1" applyFont="1" applyFill="1" applyBorder="1" applyAlignment="1">
      <alignment horizontal="center" vertical="center"/>
    </xf>
    <xf numFmtId="3" fontId="4" fillId="0" borderId="54" xfId="0" applyNumberFormat="1" applyFont="1" applyBorder="1" applyAlignment="1">
      <alignment horizontal="center" vertical="center"/>
    </xf>
    <xf numFmtId="3" fontId="4" fillId="15" borderId="55" xfId="0" applyNumberFormat="1" applyFont="1" applyFill="1" applyBorder="1" applyAlignment="1">
      <alignment horizontal="center" vertical="center"/>
    </xf>
    <xf numFmtId="3" fontId="4" fillId="0" borderId="56" xfId="0" applyNumberFormat="1" applyFont="1" applyBorder="1" applyAlignment="1">
      <alignment horizontal="center" vertical="center"/>
    </xf>
    <xf numFmtId="3" fontId="4" fillId="15" borderId="45" xfId="0" applyNumberFormat="1" applyFont="1" applyFill="1" applyBorder="1" applyAlignment="1">
      <alignment horizontal="center" vertical="center"/>
    </xf>
    <xf numFmtId="3" fontId="8" fillId="0" borderId="30" xfId="0" applyNumberFormat="1" applyFont="1" applyBorder="1" applyAlignment="1">
      <alignment horizontal="center" vertical="center"/>
    </xf>
    <xf numFmtId="3" fontId="4" fillId="16" borderId="30" xfId="0" applyNumberFormat="1" applyFont="1" applyFill="1" applyBorder="1" applyAlignment="1">
      <alignment horizontal="center" vertical="center"/>
    </xf>
    <xf numFmtId="3" fontId="8" fillId="16" borderId="30" xfId="0" applyNumberFormat="1" applyFont="1" applyFill="1" applyBorder="1" applyAlignment="1">
      <alignment horizontal="center" vertical="center"/>
    </xf>
    <xf numFmtId="3" fontId="4" fillId="12" borderId="61" xfId="0" applyNumberFormat="1" applyFont="1" applyFill="1" applyBorder="1" applyAlignment="1">
      <alignment horizontal="center" vertical="center"/>
    </xf>
    <xf numFmtId="3" fontId="4" fillId="8" borderId="30" xfId="0" applyNumberFormat="1" applyFont="1" applyFill="1" applyBorder="1" applyAlignment="1">
      <alignment horizontal="center" vertical="center"/>
    </xf>
    <xf numFmtId="3" fontId="4" fillId="15" borderId="1" xfId="0" applyNumberFormat="1" applyFont="1" applyFill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3" fontId="4" fillId="0" borderId="69" xfId="0" applyNumberFormat="1" applyFont="1" applyBorder="1" applyAlignment="1">
      <alignment horizontal="center" vertical="center"/>
    </xf>
    <xf numFmtId="177" fontId="4" fillId="0" borderId="70" xfId="0" applyNumberFormat="1" applyFont="1" applyBorder="1" applyAlignment="1">
      <alignment horizontal="center" vertical="center"/>
    </xf>
    <xf numFmtId="3" fontId="4" fillId="16" borderId="45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10" fillId="0" borderId="0" xfId="0" applyFont="1"/>
    <xf numFmtId="0" fontId="7" fillId="0" borderId="1" xfId="0" applyFont="1" applyBorder="1"/>
    <xf numFmtId="3" fontId="9" fillId="0" borderId="29" xfId="0" applyNumberFormat="1" applyFont="1" applyBorder="1" applyAlignment="1">
      <alignment horizontal="center" vertical="center"/>
    </xf>
    <xf numFmtId="3" fontId="8" fillId="0" borderId="31" xfId="0" applyNumberFormat="1" applyFont="1" applyBorder="1" applyAlignment="1">
      <alignment horizontal="center" vertical="center"/>
    </xf>
    <xf numFmtId="3" fontId="8" fillId="0" borderId="32" xfId="0" applyNumberFormat="1" applyFont="1" applyBorder="1" applyAlignment="1">
      <alignment horizontal="center" vertical="center"/>
    </xf>
    <xf numFmtId="3" fontId="6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5" fillId="0" borderId="4" xfId="0" applyFont="1" applyBorder="1"/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4" fillId="2" borderId="5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6" xfId="0" applyFont="1" applyBorder="1"/>
    <xf numFmtId="0" fontId="4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6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3" fontId="6" fillId="9" borderId="2" xfId="0" applyNumberFormat="1" applyFont="1" applyFill="1" applyBorder="1" applyAlignment="1">
      <alignment horizontal="center" vertical="center"/>
    </xf>
    <xf numFmtId="3" fontId="9" fillId="10" borderId="19" xfId="0" applyNumberFormat="1" applyFont="1" applyFill="1" applyBorder="1" applyAlignment="1">
      <alignment horizontal="center" vertical="center"/>
    </xf>
    <xf numFmtId="0" fontId="5" fillId="0" borderId="20" xfId="0" applyFont="1" applyBorder="1"/>
    <xf numFmtId="3" fontId="6" fillId="0" borderId="22" xfId="0" applyNumberFormat="1" applyFont="1" applyBorder="1" applyAlignment="1">
      <alignment horizontal="center" vertical="center"/>
    </xf>
    <xf numFmtId="0" fontId="5" fillId="0" borderId="23" xfId="0" applyFont="1" applyBorder="1"/>
    <xf numFmtId="0" fontId="5" fillId="0" borderId="24" xfId="0" applyFont="1" applyBorder="1"/>
    <xf numFmtId="3" fontId="6" fillId="0" borderId="34" xfId="0" applyNumberFormat="1" applyFont="1" applyBorder="1" applyAlignment="1">
      <alignment horizontal="center" vertical="center"/>
    </xf>
    <xf numFmtId="0" fontId="5" fillId="0" borderId="35" xfId="0" applyFont="1" applyBorder="1"/>
    <xf numFmtId="0" fontId="5" fillId="0" borderId="36" xfId="0" applyFont="1" applyBorder="1"/>
    <xf numFmtId="3" fontId="6" fillId="0" borderId="38" xfId="0" applyNumberFormat="1" applyFont="1" applyBorder="1" applyAlignment="1">
      <alignment horizontal="center" vertical="center"/>
    </xf>
    <xf numFmtId="0" fontId="5" fillId="0" borderId="44" xfId="0" applyFont="1" applyBorder="1"/>
    <xf numFmtId="3" fontId="6" fillId="11" borderId="41" xfId="0" applyNumberFormat="1" applyFont="1" applyFill="1" applyBorder="1" applyAlignment="1">
      <alignment horizontal="center" vertical="center"/>
    </xf>
    <xf numFmtId="0" fontId="5" fillId="0" borderId="42" xfId="0" applyFont="1" applyBorder="1"/>
    <xf numFmtId="0" fontId="5" fillId="0" borderId="43" xfId="0" applyFont="1" applyBorder="1"/>
    <xf numFmtId="3" fontId="6" fillId="2" borderId="41" xfId="0" applyNumberFormat="1" applyFont="1" applyFill="1" applyBorder="1" applyAlignment="1">
      <alignment horizontal="center" vertical="center"/>
    </xf>
    <xf numFmtId="3" fontId="6" fillId="0" borderId="66" xfId="0" applyNumberFormat="1" applyFont="1" applyBorder="1" applyAlignment="1">
      <alignment horizontal="center" vertical="center"/>
    </xf>
    <xf numFmtId="0" fontId="5" fillId="0" borderId="67" xfId="0" applyFont="1" applyBorder="1"/>
    <xf numFmtId="3" fontId="6" fillId="14" borderId="68" xfId="0" applyNumberFormat="1" applyFont="1" applyFill="1" applyBorder="1" applyAlignment="1">
      <alignment horizontal="center" vertical="center"/>
    </xf>
    <xf numFmtId="3" fontId="6" fillId="7" borderId="39" xfId="0" applyNumberFormat="1" applyFont="1" applyFill="1" applyBorder="1" applyAlignment="1">
      <alignment horizontal="center" vertical="center"/>
    </xf>
    <xf numFmtId="0" fontId="5" fillId="0" borderId="40" xfId="0" applyFont="1" applyBorder="1"/>
    <xf numFmtId="3" fontId="6" fillId="14" borderId="48" xfId="0" applyNumberFormat="1" applyFont="1" applyFill="1" applyBorder="1" applyAlignment="1">
      <alignment horizontal="center" vertical="center"/>
    </xf>
    <xf numFmtId="3" fontId="6" fillId="0" borderId="57" xfId="0" applyNumberFormat="1" applyFont="1" applyBorder="1" applyAlignment="1">
      <alignment horizontal="center" vertical="center"/>
    </xf>
    <xf numFmtId="0" fontId="5" fillId="0" borderId="58" xfId="0" applyFont="1" applyBorder="1"/>
    <xf numFmtId="3" fontId="6" fillId="12" borderId="59" xfId="0" applyNumberFormat="1" applyFont="1" applyFill="1" applyBorder="1" applyAlignment="1">
      <alignment horizontal="center" vertical="center"/>
    </xf>
    <xf numFmtId="0" fontId="5" fillId="0" borderId="60" xfId="0" applyFont="1" applyBorder="1"/>
    <xf numFmtId="3" fontId="6" fillId="0" borderId="62" xfId="0" applyNumberFormat="1" applyFont="1" applyBorder="1" applyAlignment="1">
      <alignment horizontal="center" vertical="center"/>
    </xf>
    <xf numFmtId="0" fontId="5" fillId="0" borderId="37" xfId="0" applyFont="1" applyBorder="1"/>
    <xf numFmtId="3" fontId="4" fillId="7" borderId="73" xfId="0" applyNumberFormat="1" applyFont="1" applyFill="1" applyBorder="1" applyAlignment="1">
      <alignment horizontal="center" vertical="center"/>
    </xf>
    <xf numFmtId="0" fontId="5" fillId="0" borderId="74" xfId="0" applyFont="1" applyBorder="1"/>
    <xf numFmtId="3" fontId="4" fillId="11" borderId="73" xfId="0" applyNumberFormat="1" applyFont="1" applyFill="1" applyBorder="1" applyAlignment="1">
      <alignment horizontal="center" vertical="center"/>
    </xf>
    <xf numFmtId="0" fontId="5" fillId="0" borderId="75" xfId="0" applyFont="1" applyBorder="1"/>
    <xf numFmtId="3" fontId="4" fillId="14" borderId="48" xfId="0" applyNumberFormat="1" applyFont="1" applyFill="1" applyBorder="1" applyAlignment="1">
      <alignment horizontal="center" vertical="center"/>
    </xf>
    <xf numFmtId="3" fontId="4" fillId="0" borderId="57" xfId="0" applyNumberFormat="1" applyFont="1" applyBorder="1" applyAlignment="1">
      <alignment horizontal="center" vertical="center"/>
    </xf>
    <xf numFmtId="3" fontId="4" fillId="12" borderId="76" xfId="0" applyNumberFormat="1" applyFont="1" applyFill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3" fontId="4" fillId="0" borderId="66" xfId="0" applyNumberFormat="1" applyFont="1" applyBorder="1" applyAlignment="1">
      <alignment horizontal="center" vertical="center"/>
    </xf>
    <xf numFmtId="3" fontId="4" fillId="14" borderId="77" xfId="0" applyNumberFormat="1" applyFont="1" applyFill="1" applyBorder="1" applyAlignment="1">
      <alignment horizontal="center" vertical="center"/>
    </xf>
    <xf numFmtId="3" fontId="8" fillId="10" borderId="19" xfId="0" applyNumberFormat="1" applyFont="1" applyFill="1" applyBorder="1" applyAlignment="1">
      <alignment horizontal="center" vertical="center"/>
    </xf>
    <xf numFmtId="3" fontId="4" fillId="0" borderId="22" xfId="0" applyNumberFormat="1" applyFont="1" applyBorder="1" applyAlignment="1">
      <alignment horizontal="center" vertical="center"/>
    </xf>
    <xf numFmtId="3" fontId="4" fillId="0" borderId="34" xfId="0" applyNumberFormat="1" applyFont="1" applyBorder="1" applyAlignment="1">
      <alignment horizontal="center" vertical="center"/>
    </xf>
    <xf numFmtId="3" fontId="4" fillId="0" borderId="38" xfId="0" applyNumberFormat="1" applyFont="1" applyBorder="1" applyAlignment="1">
      <alignment horizontal="center" vertical="center"/>
    </xf>
    <xf numFmtId="3" fontId="4" fillId="7" borderId="71" xfId="0" applyNumberFormat="1" applyFont="1" applyFill="1" applyBorder="1" applyAlignment="1">
      <alignment horizontal="center" vertical="center"/>
    </xf>
    <xf numFmtId="0" fontId="5" fillId="0" borderId="72" xfId="0" applyFont="1" applyBorder="1"/>
    <xf numFmtId="3" fontId="4" fillId="11" borderId="41" xfId="0" applyNumberFormat="1" applyFont="1" applyFill="1" applyBorder="1" applyAlignment="1">
      <alignment horizontal="center" vertical="center"/>
    </xf>
    <xf numFmtId="3" fontId="4" fillId="2" borderId="4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5"/>
  <sheetViews>
    <sheetView tabSelected="1" workbookViewId="0">
      <selection activeCell="F4" sqref="F4"/>
    </sheetView>
  </sheetViews>
  <sheetFormatPr defaultColWidth="12.6640625" defaultRowHeight="15" customHeight="1"/>
  <cols>
    <col min="5" max="5" width="9.44140625" customWidth="1"/>
    <col min="6" max="6" width="34.21875" bestFit="1" customWidth="1"/>
    <col min="8" max="8" width="14.88671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>
        <v>46142</v>
      </c>
      <c r="B2" s="3">
        <v>4110000</v>
      </c>
      <c r="C2" s="4">
        <v>-63769347</v>
      </c>
      <c r="D2" s="4">
        <v>6530653</v>
      </c>
      <c r="E2" s="5" t="str">
        <f t="shared" ref="E2" si="0">IF(D2&gt;=$K$3,"6차 달성",IF(D2&gt;=$K$2,"5차 달성","미달성"))</f>
        <v>미달성</v>
      </c>
      <c r="F2" s="5" t="str">
        <f t="shared" ref="F2" si="1">IF(D2&gt;=$K$3,
 "완료",
 IF(D2&gt;=$K$2,
  $H$3&amp;" "&amp;TEXT($K$3-D2,"#,##0")&amp;"원 필요 / "&amp;IF(A2&gt;$I$3,"목표일 경과",DATEDIF(A2,$I$3,"M")&amp;"개월 남음"),
  $H$2&amp;" "&amp;TEXT($K$2-D2,"#,##0")&amp;"원 필요 / "&amp;IF(A2&gt;$I$2,"목표일 경과",DATEDIF(A2,$I$2,"M")&amp;"개월 남음")
 )
)</f>
        <v>5차 68,989,347원 필요 / 19개월 남음</v>
      </c>
      <c r="H2" s="6" t="s">
        <v>10</v>
      </c>
      <c r="I2" s="2">
        <v>46731</v>
      </c>
      <c r="J2" s="4">
        <v>75520000</v>
      </c>
      <c r="K2" s="4">
        <v>75520000</v>
      </c>
    </row>
    <row r="3" spans="1:11">
      <c r="H3" s="6" t="s">
        <v>11</v>
      </c>
      <c r="I3" s="2">
        <v>46822</v>
      </c>
      <c r="J3" s="4">
        <v>75520000</v>
      </c>
      <c r="K3" s="4">
        <v>151040000</v>
      </c>
    </row>
    <row r="4" spans="1:11"/>
    <row r="5" spans="1:11"/>
    <row r="6" spans="1:11"/>
    <row r="7" spans="1:11">
      <c r="H7" s="7" t="s">
        <v>12</v>
      </c>
    </row>
    <row r="8" spans="1:11">
      <c r="H8" s="7" t="s">
        <v>13</v>
      </c>
    </row>
    <row r="9" spans="1:11">
      <c r="H9" s="7" t="s">
        <v>14</v>
      </c>
    </row>
    <row r="10" spans="1:11">
      <c r="H10" s="7" t="s">
        <v>15</v>
      </c>
    </row>
    <row r="11" spans="1:11">
      <c r="H11" s="7">
        <v>1320</v>
      </c>
    </row>
    <row r="12" spans="1:11">
      <c r="H12" s="7">
        <v>450</v>
      </c>
    </row>
    <row r="13" spans="1:11"/>
    <row r="14" spans="1:11"/>
    <row r="15" spans="1:11"/>
    <row r="16" spans="1:11"/>
    <row r="17"/>
    <row r="18"/>
    <row r="19"/>
    <row r="20"/>
    <row r="21"/>
    <row r="22"/>
    <row r="23"/>
    <row r="24"/>
    <row r="25"/>
  </sheetData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857"/>
  <sheetViews>
    <sheetView workbookViewId="0">
      <pane xSplit="4" topLeftCell="E1" activePane="topRight" state="frozen"/>
      <selection pane="topRight" activeCell="F2" sqref="F2"/>
    </sheetView>
  </sheetViews>
  <sheetFormatPr defaultColWidth="12.6640625" defaultRowHeight="15" customHeight="1"/>
  <cols>
    <col min="1" max="1" width="2.33203125" customWidth="1"/>
    <col min="2" max="2" width="8.33203125" customWidth="1"/>
    <col min="3" max="3" width="2.21875" customWidth="1"/>
    <col min="4" max="4" width="9.109375" customWidth="1"/>
    <col min="5" max="5" width="8.33203125" customWidth="1"/>
    <col min="6" max="6" width="11.88671875" customWidth="1"/>
    <col min="7" max="26" width="8.33203125" customWidth="1"/>
  </cols>
  <sheetData>
    <row r="1" spans="1:26" ht="15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>
      <c r="A2" s="8"/>
      <c r="B2" s="9" t="s">
        <v>16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8"/>
      <c r="U2" s="8"/>
      <c r="V2" s="8"/>
      <c r="W2" s="8"/>
      <c r="X2" s="8"/>
      <c r="Y2" s="8"/>
      <c r="Z2" s="8"/>
    </row>
    <row r="3" spans="1:26" ht="15.75" customHeight="1">
      <c r="A3" s="8"/>
      <c r="B3" s="11">
        <v>2026</v>
      </c>
      <c r="C3" s="10"/>
      <c r="D3" s="12" t="s">
        <v>17</v>
      </c>
      <c r="E3" s="12" t="s">
        <v>18</v>
      </c>
      <c r="F3" s="12" t="s">
        <v>19</v>
      </c>
      <c r="G3" s="12" t="s">
        <v>20</v>
      </c>
      <c r="H3" s="12" t="s">
        <v>21</v>
      </c>
      <c r="I3" s="12" t="s">
        <v>22</v>
      </c>
      <c r="J3" s="12" t="s">
        <v>23</v>
      </c>
      <c r="K3" s="12" t="s">
        <v>24</v>
      </c>
      <c r="L3" s="12" t="s">
        <v>25</v>
      </c>
      <c r="M3" s="12" t="s">
        <v>26</v>
      </c>
      <c r="N3" s="12" t="s">
        <v>27</v>
      </c>
      <c r="O3" s="12" t="s">
        <v>28</v>
      </c>
      <c r="P3" s="12" t="s">
        <v>29</v>
      </c>
      <c r="Q3" s="10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>
      <c r="A4" s="8"/>
      <c r="B4" s="10"/>
      <c r="C4" s="10"/>
      <c r="D4" s="13">
        <f>SUM(E4:P4)</f>
        <v>11003829</v>
      </c>
      <c r="E4" s="13">
        <f t="shared" ref="E4:P4" si="0">E21</f>
        <v>0</v>
      </c>
      <c r="F4" s="13">
        <f t="shared" si="0"/>
        <v>5659810</v>
      </c>
      <c r="G4" s="13">
        <f t="shared" si="0"/>
        <v>5344019</v>
      </c>
      <c r="H4" s="13">
        <f t="shared" si="0"/>
        <v>0</v>
      </c>
      <c r="I4" s="13">
        <f t="shared" si="0"/>
        <v>0</v>
      </c>
      <c r="J4" s="13">
        <f t="shared" si="0"/>
        <v>0</v>
      </c>
      <c r="K4" s="13">
        <f t="shared" si="0"/>
        <v>0</v>
      </c>
      <c r="L4" s="13">
        <f t="shared" si="0"/>
        <v>0</v>
      </c>
      <c r="M4" s="13">
        <f t="shared" si="0"/>
        <v>0</v>
      </c>
      <c r="N4" s="13">
        <f t="shared" si="0"/>
        <v>0</v>
      </c>
      <c r="O4" s="13">
        <f t="shared" si="0"/>
        <v>0</v>
      </c>
      <c r="P4" s="13">
        <f t="shared" si="0"/>
        <v>0</v>
      </c>
      <c r="Q4" s="10"/>
      <c r="R4" s="8"/>
      <c r="S4" s="10"/>
      <c r="T4" s="8"/>
      <c r="U4" s="8"/>
      <c r="V4" s="8"/>
      <c r="W4" s="8"/>
      <c r="X4" s="8"/>
      <c r="Y4" s="8"/>
      <c r="Z4" s="8"/>
    </row>
    <row r="5" spans="1:26" ht="15.75" customHeight="1">
      <c r="A5" s="8"/>
      <c r="B5" s="10"/>
      <c r="C5" s="10"/>
      <c r="D5" s="10"/>
      <c r="E5" s="14"/>
      <c r="F5" s="14"/>
      <c r="G5" s="14"/>
      <c r="H5" s="10"/>
      <c r="I5" s="10"/>
      <c r="J5" s="10"/>
      <c r="K5" s="10"/>
      <c r="L5" s="10"/>
      <c r="M5" s="10"/>
      <c r="N5" s="10"/>
      <c r="O5" s="10"/>
      <c r="P5" s="10"/>
      <c r="Q5" s="10"/>
      <c r="R5" s="8"/>
      <c r="S5" s="10"/>
      <c r="T5" s="8"/>
      <c r="U5" s="8"/>
      <c r="V5" s="8"/>
      <c r="W5" s="8"/>
      <c r="X5" s="8"/>
      <c r="Y5" s="8"/>
      <c r="Z5" s="8"/>
    </row>
    <row r="6" spans="1:26" ht="15.75" customHeight="1">
      <c r="A6" s="8"/>
      <c r="B6" s="152" t="s">
        <v>30</v>
      </c>
      <c r="C6" s="153"/>
      <c r="D6" s="140"/>
      <c r="E6" s="12" t="s">
        <v>18</v>
      </c>
      <c r="F6" s="12" t="s">
        <v>19</v>
      </c>
      <c r="G6" s="12" t="s">
        <v>20</v>
      </c>
      <c r="H6" s="12" t="s">
        <v>21</v>
      </c>
      <c r="I6" s="12" t="s">
        <v>22</v>
      </c>
      <c r="J6" s="12" t="s">
        <v>23</v>
      </c>
      <c r="K6" s="12" t="s">
        <v>24</v>
      </c>
      <c r="L6" s="12" t="s">
        <v>25</v>
      </c>
      <c r="M6" s="12" t="s">
        <v>26</v>
      </c>
      <c r="N6" s="12" t="s">
        <v>27</v>
      </c>
      <c r="O6" s="12" t="s">
        <v>28</v>
      </c>
      <c r="P6" s="12" t="s">
        <v>29</v>
      </c>
      <c r="Q6" s="10"/>
      <c r="R6" s="15" t="s">
        <v>31</v>
      </c>
      <c r="S6" s="10"/>
      <c r="T6" s="8"/>
      <c r="U6" s="8"/>
      <c r="V6" s="8"/>
      <c r="W6" s="8"/>
      <c r="X6" s="8"/>
      <c r="Y6" s="8"/>
      <c r="Z6" s="8"/>
    </row>
    <row r="7" spans="1:26" ht="15.75" customHeight="1">
      <c r="A7" s="8"/>
      <c r="B7" s="152" t="s">
        <v>32</v>
      </c>
      <c r="C7" s="153"/>
      <c r="D7" s="140"/>
      <c r="E7" s="13">
        <f>'1월'!$C6</f>
        <v>0</v>
      </c>
      <c r="F7" s="13">
        <f>'2월'!$C6</f>
        <v>11435984</v>
      </c>
      <c r="G7" s="13">
        <f>'3월'!$C6</f>
        <v>7781153</v>
      </c>
      <c r="H7" s="13">
        <f>'4월'!$C6</f>
        <v>1474591</v>
      </c>
      <c r="I7" s="13">
        <f>'5월'!$C6</f>
        <v>0</v>
      </c>
      <c r="J7" s="13">
        <f>'6월'!$C6</f>
        <v>0</v>
      </c>
      <c r="K7" s="13">
        <f>'7월'!$C6</f>
        <v>0</v>
      </c>
      <c r="L7" s="13">
        <f>'8월'!$C6</f>
        <v>0</v>
      </c>
      <c r="M7" s="13">
        <f>'9월'!$C6</f>
        <v>0</v>
      </c>
      <c r="N7" s="13">
        <f>'10월'!$C6</f>
        <v>0</v>
      </c>
      <c r="O7" s="13">
        <f>'11월'!$C6</f>
        <v>0</v>
      </c>
      <c r="P7" s="13">
        <f>'12월'!$C6</f>
        <v>0</v>
      </c>
      <c r="Q7" s="10"/>
      <c r="R7" s="15" t="s">
        <v>33</v>
      </c>
      <c r="S7" s="10"/>
      <c r="T7" s="8"/>
      <c r="U7" s="8"/>
      <c r="V7" s="8"/>
      <c r="W7" s="8"/>
      <c r="X7" s="8"/>
      <c r="Y7" s="8"/>
      <c r="Z7" s="8"/>
    </row>
    <row r="8" spans="1:26" ht="15.75" customHeight="1">
      <c r="A8" s="8"/>
      <c r="B8" s="149" t="s">
        <v>34</v>
      </c>
      <c r="C8" s="142" t="s">
        <v>35</v>
      </c>
      <c r="D8" s="140"/>
      <c r="E8" s="13">
        <f>'1월'!$H$13</f>
        <v>0</v>
      </c>
      <c r="F8" s="13">
        <f>'2월'!$H$13</f>
        <v>2533238</v>
      </c>
      <c r="G8" s="13">
        <f>'3월'!$H$13</f>
        <v>2007103</v>
      </c>
      <c r="H8" s="13">
        <f>'4월'!$H$13</f>
        <v>618393</v>
      </c>
      <c r="I8" s="13">
        <f>'5월'!$H$13</f>
        <v>0</v>
      </c>
      <c r="J8" s="13">
        <f>'6월'!$H$13</f>
        <v>0</v>
      </c>
      <c r="K8" s="13">
        <f>'7월'!$H$13</f>
        <v>0</v>
      </c>
      <c r="L8" s="13">
        <f>'8월'!$H$13</f>
        <v>0</v>
      </c>
      <c r="M8" s="13">
        <f>'9월'!$H$13</f>
        <v>0</v>
      </c>
      <c r="N8" s="13">
        <f>'10월'!$H$13</f>
        <v>0</v>
      </c>
      <c r="O8" s="13">
        <f>'11월'!$H$13</f>
        <v>0</v>
      </c>
      <c r="P8" s="13">
        <f>'12월'!$H$13</f>
        <v>0</v>
      </c>
      <c r="Q8" s="10"/>
      <c r="R8" s="10"/>
      <c r="S8" s="10"/>
      <c r="T8" s="8"/>
      <c r="U8" s="8"/>
      <c r="V8" s="8"/>
      <c r="W8" s="8"/>
      <c r="X8" s="8"/>
      <c r="Y8" s="8"/>
      <c r="Z8" s="8"/>
    </row>
    <row r="9" spans="1:26" ht="15.75" customHeight="1">
      <c r="A9" s="8"/>
      <c r="B9" s="151"/>
      <c r="C9" s="142" t="s">
        <v>36</v>
      </c>
      <c r="D9" s="140"/>
      <c r="E9" s="13">
        <f>'1월'!$I$13</f>
        <v>0</v>
      </c>
      <c r="F9" s="13">
        <f>'2월'!$I$13</f>
        <v>1128167</v>
      </c>
      <c r="G9" s="13">
        <f>'3월'!$I$13</f>
        <v>1200000</v>
      </c>
      <c r="H9" s="13">
        <f>'4월'!$I$13</f>
        <v>1450000</v>
      </c>
      <c r="I9" s="13">
        <f>'5월'!$I$13</f>
        <v>0</v>
      </c>
      <c r="J9" s="13">
        <f>'6월'!$I$13</f>
        <v>0</v>
      </c>
      <c r="K9" s="13">
        <f>'7월'!$I$13</f>
        <v>0</v>
      </c>
      <c r="L9" s="13">
        <f>'8월'!$I$13</f>
        <v>0</v>
      </c>
      <c r="M9" s="13">
        <f>'9월'!$I$13</f>
        <v>0</v>
      </c>
      <c r="N9" s="13">
        <f>'10월'!$I$13</f>
        <v>0</v>
      </c>
      <c r="O9" s="13">
        <f>'11월'!$I$13</f>
        <v>0</v>
      </c>
      <c r="P9" s="13">
        <f>'12월'!$I$13</f>
        <v>0</v>
      </c>
      <c r="Q9" s="10"/>
      <c r="R9" s="10"/>
      <c r="S9" s="10"/>
      <c r="T9" s="8"/>
      <c r="U9" s="8"/>
      <c r="V9" s="8"/>
      <c r="W9" s="8"/>
      <c r="X9" s="8"/>
      <c r="Y9" s="8"/>
      <c r="Z9" s="8"/>
    </row>
    <row r="10" spans="1:26" ht="15.75" customHeight="1">
      <c r="A10" s="8"/>
      <c r="B10" s="154" t="s">
        <v>37</v>
      </c>
      <c r="C10" s="153"/>
      <c r="D10" s="140"/>
      <c r="E10" s="16">
        <f t="shared" ref="E10:P10" si="1">SUM(E8:E9)</f>
        <v>0</v>
      </c>
      <c r="F10" s="16">
        <f t="shared" si="1"/>
        <v>3661405</v>
      </c>
      <c r="G10" s="16">
        <f t="shared" si="1"/>
        <v>3207103</v>
      </c>
      <c r="H10" s="16">
        <f t="shared" si="1"/>
        <v>2068393</v>
      </c>
      <c r="I10" s="16">
        <f t="shared" si="1"/>
        <v>0</v>
      </c>
      <c r="J10" s="16">
        <f t="shared" si="1"/>
        <v>0</v>
      </c>
      <c r="K10" s="16">
        <f t="shared" si="1"/>
        <v>0</v>
      </c>
      <c r="L10" s="16">
        <f t="shared" si="1"/>
        <v>0</v>
      </c>
      <c r="M10" s="16">
        <f t="shared" si="1"/>
        <v>0</v>
      </c>
      <c r="N10" s="16">
        <f t="shared" si="1"/>
        <v>0</v>
      </c>
      <c r="O10" s="16">
        <f t="shared" si="1"/>
        <v>0</v>
      </c>
      <c r="P10" s="16">
        <f t="shared" si="1"/>
        <v>0</v>
      </c>
      <c r="Q10" s="10"/>
      <c r="R10" s="10"/>
      <c r="S10" s="10"/>
      <c r="T10" s="8"/>
      <c r="U10" s="8"/>
      <c r="V10" s="8"/>
      <c r="W10" s="8"/>
      <c r="X10" s="8"/>
      <c r="Y10" s="8"/>
      <c r="Z10" s="8"/>
    </row>
    <row r="11" spans="1:26" ht="15.75" customHeight="1">
      <c r="A11" s="8"/>
      <c r="B11" s="149" t="s">
        <v>38</v>
      </c>
      <c r="C11" s="139" t="s">
        <v>39</v>
      </c>
      <c r="D11" s="140"/>
      <c r="E11" s="17">
        <f>'1월'!$E6</f>
        <v>0</v>
      </c>
      <c r="F11" s="17">
        <f>'2월'!$E6</f>
        <v>250000</v>
      </c>
      <c r="G11" s="17">
        <f>'3월'!$E6</f>
        <v>250000</v>
      </c>
      <c r="H11" s="17">
        <f>'4월'!$E6</f>
        <v>0</v>
      </c>
      <c r="I11" s="17">
        <f>'5월'!$E6</f>
        <v>0</v>
      </c>
      <c r="J11" s="17">
        <f>'6월'!$E6</f>
        <v>0</v>
      </c>
      <c r="K11" s="17">
        <f>'7월'!$E6</f>
        <v>0</v>
      </c>
      <c r="L11" s="17">
        <f>'8월'!$E6</f>
        <v>0</v>
      </c>
      <c r="M11" s="17">
        <f>'9월'!$E6</f>
        <v>0</v>
      </c>
      <c r="N11" s="17">
        <f>'10월'!$E6</f>
        <v>0</v>
      </c>
      <c r="O11" s="17">
        <f>'11월'!$E6</f>
        <v>0</v>
      </c>
      <c r="P11" s="17">
        <f>'12월'!$E6</f>
        <v>0</v>
      </c>
      <c r="Q11" s="10"/>
      <c r="R11" s="10"/>
      <c r="S11" s="10"/>
      <c r="T11" s="8"/>
      <c r="U11" s="8"/>
      <c r="V11" s="8"/>
      <c r="W11" s="8"/>
      <c r="X11" s="8"/>
      <c r="Y11" s="8"/>
      <c r="Z11" s="8"/>
    </row>
    <row r="12" spans="1:26" ht="15.75" customHeight="1">
      <c r="A12" s="8"/>
      <c r="B12" s="150"/>
      <c r="C12" s="139" t="s">
        <v>40</v>
      </c>
      <c r="D12" s="140"/>
      <c r="E12" s="17">
        <f>'1월'!$F6</f>
        <v>0</v>
      </c>
      <c r="F12" s="17">
        <f>'2월'!$F6</f>
        <v>100000</v>
      </c>
      <c r="G12" s="17">
        <f>'3월'!$F6</f>
        <v>100000</v>
      </c>
      <c r="H12" s="17">
        <f>'4월'!$F6</f>
        <v>0</v>
      </c>
      <c r="I12" s="17">
        <f>'5월'!$F6</f>
        <v>0</v>
      </c>
      <c r="J12" s="17">
        <f>'6월'!$F6</f>
        <v>0</v>
      </c>
      <c r="K12" s="17">
        <f>'7월'!$F6</f>
        <v>0</v>
      </c>
      <c r="L12" s="17">
        <f>'8월'!$F6</f>
        <v>0</v>
      </c>
      <c r="M12" s="17">
        <f>'9월'!$F6</f>
        <v>0</v>
      </c>
      <c r="N12" s="17">
        <f>'10월'!$F6</f>
        <v>0</v>
      </c>
      <c r="O12" s="17">
        <f>'11월'!$F6</f>
        <v>0</v>
      </c>
      <c r="P12" s="17">
        <f>'12월'!$F6</f>
        <v>0</v>
      </c>
      <c r="Q12" s="10"/>
      <c r="R12" s="10"/>
      <c r="S12" s="10"/>
      <c r="T12" s="8"/>
      <c r="U12" s="8"/>
      <c r="V12" s="8"/>
      <c r="W12" s="8"/>
      <c r="X12" s="8"/>
      <c r="Y12" s="8"/>
      <c r="Z12" s="8"/>
    </row>
    <row r="13" spans="1:26" ht="15.75" customHeight="1">
      <c r="A13" s="8"/>
      <c r="B13" s="150"/>
      <c r="C13" s="139" t="s">
        <v>41</v>
      </c>
      <c r="D13" s="140"/>
      <c r="E13" s="17">
        <f>'1월'!$G6</f>
        <v>0</v>
      </c>
      <c r="F13" s="17">
        <f>'2월'!$G6</f>
        <v>100000</v>
      </c>
      <c r="G13" s="17">
        <f>'3월'!$G6</f>
        <v>100000</v>
      </c>
      <c r="H13" s="17">
        <f>'4월'!$G6</f>
        <v>0</v>
      </c>
      <c r="I13" s="17">
        <f>'5월'!$G6</f>
        <v>0</v>
      </c>
      <c r="J13" s="17">
        <f>'6월'!$G6</f>
        <v>0</v>
      </c>
      <c r="K13" s="17">
        <f>'7월'!$G6</f>
        <v>0</v>
      </c>
      <c r="L13" s="17">
        <f>'8월'!$G6</f>
        <v>0</v>
      </c>
      <c r="M13" s="17">
        <f>'9월'!$G6</f>
        <v>0</v>
      </c>
      <c r="N13" s="17">
        <f>'10월'!$G6</f>
        <v>0</v>
      </c>
      <c r="O13" s="17">
        <f>'12월'!$G6</f>
        <v>0</v>
      </c>
      <c r="P13" s="17">
        <f>'12월'!$G6</f>
        <v>0</v>
      </c>
      <c r="Q13" s="10"/>
      <c r="R13" s="10"/>
      <c r="S13" s="10"/>
      <c r="T13" s="8"/>
      <c r="U13" s="8"/>
      <c r="V13" s="8"/>
      <c r="W13" s="8"/>
      <c r="X13" s="8"/>
      <c r="Y13" s="8"/>
      <c r="Z13" s="8"/>
    </row>
    <row r="14" spans="1:26" ht="15.75" customHeight="1">
      <c r="A14" s="8"/>
      <c r="B14" s="150"/>
      <c r="C14" s="139" t="s">
        <v>42</v>
      </c>
      <c r="D14" s="140"/>
      <c r="E14" s="17">
        <f>'1월'!$H6</f>
        <v>0</v>
      </c>
      <c r="F14" s="17">
        <f>'2월'!$H6</f>
        <v>100000</v>
      </c>
      <c r="G14" s="17">
        <f>'3월'!$H6</f>
        <v>100000</v>
      </c>
      <c r="H14" s="17">
        <f>'4월'!$H6</f>
        <v>0</v>
      </c>
      <c r="I14" s="17">
        <f>'5월'!$H6</f>
        <v>0</v>
      </c>
      <c r="J14" s="17">
        <f>'6월'!$H6</f>
        <v>0</v>
      </c>
      <c r="K14" s="17">
        <f>'7월'!$H6</f>
        <v>0</v>
      </c>
      <c r="L14" s="17">
        <f>'8월'!$H6</f>
        <v>0</v>
      </c>
      <c r="M14" s="17">
        <f>'9월'!$H6</f>
        <v>0</v>
      </c>
      <c r="N14" s="17">
        <f>'10월'!$H6</f>
        <v>0</v>
      </c>
      <c r="O14" s="17">
        <f>'11월'!$H6</f>
        <v>0</v>
      </c>
      <c r="P14" s="17">
        <f>'12월'!$H6</f>
        <v>0</v>
      </c>
      <c r="Q14" s="10"/>
      <c r="R14" s="10"/>
      <c r="S14" s="10"/>
      <c r="T14" s="8"/>
      <c r="U14" s="8"/>
      <c r="V14" s="8"/>
      <c r="W14" s="8"/>
      <c r="X14" s="8"/>
      <c r="Y14" s="8"/>
      <c r="Z14" s="8"/>
    </row>
    <row r="15" spans="1:26" ht="15.75" customHeight="1">
      <c r="A15" s="8"/>
      <c r="B15" s="150"/>
      <c r="C15" s="141" t="s">
        <v>43</v>
      </c>
      <c r="D15" s="140"/>
      <c r="E15" s="17">
        <f>'1월'!$I6</f>
        <v>0</v>
      </c>
      <c r="F15" s="17">
        <f>'2월'!$I6</f>
        <v>200000</v>
      </c>
      <c r="G15" s="17">
        <f>'3월'!$I6</f>
        <v>200000</v>
      </c>
      <c r="H15" s="17">
        <f>'4월'!$I6</f>
        <v>0</v>
      </c>
      <c r="I15" s="17">
        <f>'5월'!$I6</f>
        <v>0</v>
      </c>
      <c r="J15" s="17">
        <f>'6월'!$I6</f>
        <v>0</v>
      </c>
      <c r="K15" s="17">
        <f>'7월'!$I6</f>
        <v>0</v>
      </c>
      <c r="L15" s="17">
        <f>'8월'!$I6</f>
        <v>0</v>
      </c>
      <c r="M15" s="17">
        <f>'9월'!$I6</f>
        <v>0</v>
      </c>
      <c r="N15" s="17">
        <f>'10월'!$I6</f>
        <v>0</v>
      </c>
      <c r="O15" s="17">
        <f>'11월'!$I6</f>
        <v>0</v>
      </c>
      <c r="P15" s="17">
        <f>'12월'!$I6</f>
        <v>0</v>
      </c>
      <c r="Q15" s="10"/>
      <c r="R15" s="10"/>
      <c r="S15" s="10"/>
      <c r="T15" s="8"/>
      <c r="U15" s="8"/>
      <c r="V15" s="8"/>
      <c r="W15" s="8"/>
      <c r="X15" s="8"/>
      <c r="Y15" s="8"/>
      <c r="Z15" s="8"/>
    </row>
    <row r="16" spans="1:26" ht="15.75" customHeight="1">
      <c r="A16" s="8"/>
      <c r="B16" s="150"/>
      <c r="C16" s="139" t="s">
        <v>44</v>
      </c>
      <c r="D16" s="140"/>
      <c r="E16" s="17">
        <f>'1월'!$J6</f>
        <v>0</v>
      </c>
      <c r="F16" s="17">
        <f>'2월'!$J6</f>
        <v>4909810</v>
      </c>
      <c r="G16" s="17">
        <f>'3월'!$J6</f>
        <v>4594019</v>
      </c>
      <c r="H16" s="17">
        <f>'4월'!$J6</f>
        <v>0</v>
      </c>
      <c r="I16" s="17">
        <f>'5월'!$J6</f>
        <v>0</v>
      </c>
      <c r="J16" s="17">
        <f>'6월'!$J6</f>
        <v>0</v>
      </c>
      <c r="K16" s="17">
        <f>'7월'!$J6</f>
        <v>0</v>
      </c>
      <c r="L16" s="17">
        <f>'8월'!$J6</f>
        <v>0</v>
      </c>
      <c r="M16" s="17">
        <f>'9월'!$J6</f>
        <v>0</v>
      </c>
      <c r="N16" s="17">
        <f>'10월'!$J6</f>
        <v>0</v>
      </c>
      <c r="O16" s="17">
        <f>'11월'!$J6</f>
        <v>0</v>
      </c>
      <c r="P16" s="17">
        <f>'12월'!$J6</f>
        <v>0</v>
      </c>
      <c r="Q16" s="10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>
      <c r="A17" s="8"/>
      <c r="B17" s="150"/>
      <c r="C17" s="141"/>
      <c r="D17" s="140"/>
      <c r="E17" s="17">
        <f>'1월'!$K6</f>
        <v>0</v>
      </c>
      <c r="F17" s="17">
        <f>'2월'!$K6</f>
        <v>0</v>
      </c>
      <c r="G17" s="17">
        <f>'3월'!$K6</f>
        <v>0</v>
      </c>
      <c r="H17" s="17">
        <f>'4월'!$K6</f>
        <v>0</v>
      </c>
      <c r="I17" s="17">
        <f>'5월'!$K6</f>
        <v>0</v>
      </c>
      <c r="J17" s="17">
        <f>'6월'!$K6</f>
        <v>0</v>
      </c>
      <c r="K17" s="17">
        <f>'7월'!$K6</f>
        <v>0</v>
      </c>
      <c r="L17" s="17">
        <f>'8월'!$K6</f>
        <v>0</v>
      </c>
      <c r="M17" s="17">
        <f>'9월'!$K6</f>
        <v>0</v>
      </c>
      <c r="N17" s="17">
        <f>'10월'!$K6</f>
        <v>0</v>
      </c>
      <c r="O17" s="17">
        <f>'11월'!$K6</f>
        <v>0</v>
      </c>
      <c r="P17" s="17">
        <f>'12월'!$K6</f>
        <v>0</v>
      </c>
      <c r="Q17" s="14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>
      <c r="A18" s="8"/>
      <c r="B18" s="150"/>
      <c r="C18" s="142"/>
      <c r="D18" s="140"/>
      <c r="E18" s="17">
        <f>'1월'!$L6</f>
        <v>0</v>
      </c>
      <c r="F18" s="17">
        <f>'2월'!$L6</f>
        <v>0</v>
      </c>
      <c r="G18" s="17">
        <f>'3월'!$L6</f>
        <v>0</v>
      </c>
      <c r="H18" s="17">
        <f>'4월'!$L6</f>
        <v>0</v>
      </c>
      <c r="I18" s="17">
        <f>'5월'!$L6</f>
        <v>0</v>
      </c>
      <c r="J18" s="17">
        <f>'6월'!$L6</f>
        <v>0</v>
      </c>
      <c r="K18" s="17">
        <f>'7월'!$L6</f>
        <v>0</v>
      </c>
      <c r="L18" s="17">
        <f>'8월'!$L6</f>
        <v>0</v>
      </c>
      <c r="M18" s="17">
        <f>'9월'!$L6</f>
        <v>0</v>
      </c>
      <c r="N18" s="17">
        <f>'10월'!$L6</f>
        <v>0</v>
      </c>
      <c r="O18" s="17">
        <f>'11월'!$L6</f>
        <v>0</v>
      </c>
      <c r="P18" s="17">
        <f>'12월'!$L6</f>
        <v>0</v>
      </c>
      <c r="Q18" s="14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>
      <c r="A19" s="8"/>
      <c r="B19" s="150"/>
      <c r="C19" s="142"/>
      <c r="D19" s="140"/>
      <c r="E19" s="17">
        <f>'1월'!$M6</f>
        <v>0</v>
      </c>
      <c r="F19" s="17">
        <f>'2월'!$M6</f>
        <v>0</v>
      </c>
      <c r="G19" s="17">
        <f>'3월'!$M6</f>
        <v>0</v>
      </c>
      <c r="H19" s="17">
        <f>'4월'!$M6</f>
        <v>0</v>
      </c>
      <c r="I19" s="17">
        <f>'5월'!$M6</f>
        <v>0</v>
      </c>
      <c r="J19" s="17">
        <f>'6월'!$M6</f>
        <v>0</v>
      </c>
      <c r="K19" s="17">
        <f>'7월'!$M6</f>
        <v>0</v>
      </c>
      <c r="L19" s="17">
        <f>'8월'!$M6</f>
        <v>0</v>
      </c>
      <c r="M19" s="17">
        <f>'9월'!$M6</f>
        <v>0</v>
      </c>
      <c r="N19" s="17">
        <f>'10월'!$M6</f>
        <v>0</v>
      </c>
      <c r="O19" s="17">
        <f>'11월'!$M6</f>
        <v>0</v>
      </c>
      <c r="P19" s="17">
        <f>'12월'!$M6</f>
        <v>0</v>
      </c>
      <c r="Q19" s="14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>
      <c r="A20" s="8"/>
      <c r="B20" s="151"/>
      <c r="C20" s="142"/>
      <c r="D20" s="140"/>
      <c r="E20" s="17">
        <f>'1월'!$N6</f>
        <v>0</v>
      </c>
      <c r="F20" s="17">
        <f>'2월'!$N6</f>
        <v>0</v>
      </c>
      <c r="G20" s="17">
        <f>'3월'!$N6</f>
        <v>0</v>
      </c>
      <c r="H20" s="17">
        <f>'4월'!$N6</f>
        <v>0</v>
      </c>
      <c r="I20" s="17">
        <f>'5월'!$N6</f>
        <v>0</v>
      </c>
      <c r="J20" s="17">
        <f>'6월'!$N6</f>
        <v>0</v>
      </c>
      <c r="K20" s="17">
        <f>'7월'!$N6</f>
        <v>0</v>
      </c>
      <c r="L20" s="17">
        <f>'8월'!$N6</f>
        <v>0</v>
      </c>
      <c r="M20" s="17">
        <f>'9월'!$N6</f>
        <v>0</v>
      </c>
      <c r="N20" s="17">
        <f>'10월'!$N6</f>
        <v>0</v>
      </c>
      <c r="O20" s="17">
        <f>'11월'!$N6</f>
        <v>0</v>
      </c>
      <c r="P20" s="17">
        <f>'12월'!$N6</f>
        <v>0</v>
      </c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8"/>
      <c r="B21" s="155" t="s">
        <v>45</v>
      </c>
      <c r="C21" s="153"/>
      <c r="D21" s="140"/>
      <c r="E21" s="16">
        <f t="shared" ref="E21:P21" si="2">SUM(E11:E20)</f>
        <v>0</v>
      </c>
      <c r="F21" s="16">
        <f t="shared" si="2"/>
        <v>5659810</v>
      </c>
      <c r="G21" s="16">
        <f t="shared" si="2"/>
        <v>5344019</v>
      </c>
      <c r="H21" s="16">
        <f t="shared" si="2"/>
        <v>0</v>
      </c>
      <c r="I21" s="16">
        <f t="shared" si="2"/>
        <v>0</v>
      </c>
      <c r="J21" s="16">
        <f t="shared" si="2"/>
        <v>0</v>
      </c>
      <c r="K21" s="16">
        <f t="shared" si="2"/>
        <v>0</v>
      </c>
      <c r="L21" s="16">
        <f t="shared" si="2"/>
        <v>0</v>
      </c>
      <c r="M21" s="16">
        <f t="shared" si="2"/>
        <v>0</v>
      </c>
      <c r="N21" s="16">
        <f t="shared" si="2"/>
        <v>0</v>
      </c>
      <c r="O21" s="16">
        <f t="shared" si="2"/>
        <v>0</v>
      </c>
      <c r="P21" s="16">
        <f t="shared" si="2"/>
        <v>0</v>
      </c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8"/>
      <c r="B22" s="149" t="s">
        <v>46</v>
      </c>
      <c r="C22" s="143" t="s">
        <v>47</v>
      </c>
      <c r="D22" s="144"/>
      <c r="E22" s="17"/>
      <c r="F22" s="18" t="s">
        <v>48</v>
      </c>
      <c r="G22" s="19"/>
      <c r="H22" s="19"/>
      <c r="I22" s="18" t="s">
        <v>49</v>
      </c>
      <c r="J22" s="19"/>
      <c r="K22" s="19"/>
      <c r="L22" s="19"/>
      <c r="M22" s="18" t="s">
        <v>50</v>
      </c>
      <c r="N22" s="19"/>
      <c r="O22" s="19"/>
      <c r="P22" s="19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8"/>
      <c r="B23" s="150"/>
      <c r="C23" s="145"/>
      <c r="D23" s="146"/>
      <c r="E23" s="19"/>
      <c r="F23" s="19"/>
      <c r="G23" s="19"/>
      <c r="H23" s="19"/>
      <c r="I23" s="19"/>
      <c r="J23" s="19"/>
      <c r="K23" s="19"/>
      <c r="L23" s="19"/>
      <c r="M23" s="18"/>
      <c r="N23" s="19"/>
      <c r="O23" s="19"/>
      <c r="P23" s="19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8"/>
      <c r="B24" s="150"/>
      <c r="C24" s="145"/>
      <c r="D24" s="146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8"/>
      <c r="B25" s="150"/>
      <c r="C25" s="145"/>
      <c r="D25" s="146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8"/>
      <c r="B26" s="151"/>
      <c r="C26" s="147"/>
      <c r="D26" s="148"/>
      <c r="E26" s="19"/>
      <c r="F26" s="19"/>
      <c r="G26" s="19"/>
      <c r="H26" s="19"/>
      <c r="I26" s="20"/>
      <c r="J26" s="20"/>
      <c r="K26" s="19"/>
      <c r="L26" s="20"/>
      <c r="M26" s="19"/>
      <c r="N26" s="19"/>
      <c r="O26" s="19"/>
      <c r="P26" s="19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V857" s="8"/>
      <c r="W857" s="8"/>
      <c r="X857" s="8"/>
      <c r="Y857" s="8"/>
      <c r="Z857" s="8"/>
    </row>
  </sheetData>
  <mergeCells count="20">
    <mergeCell ref="C22:D26"/>
    <mergeCell ref="B11:B20"/>
    <mergeCell ref="B22:B26"/>
    <mergeCell ref="B6:D6"/>
    <mergeCell ref="B7:D7"/>
    <mergeCell ref="B8:B9"/>
    <mergeCell ref="C8:D8"/>
    <mergeCell ref="C9:D9"/>
    <mergeCell ref="B10:D10"/>
    <mergeCell ref="B21:D21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</mergeCells>
  <phoneticPr fontId="1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6640625" defaultRowHeight="15" customHeight="1"/>
  <cols>
    <col min="1" max="1" width="2.33203125" customWidth="1"/>
    <col min="2" max="10" width="8.77734375" customWidth="1"/>
    <col min="11" max="26" width="8.33203125" customWidth="1"/>
  </cols>
  <sheetData>
    <row r="1" spans="1:26" ht="15.7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.75" customHeight="1">
      <c r="A2" s="21"/>
      <c r="B2" s="22"/>
      <c r="C2" s="22"/>
      <c r="D2" s="23"/>
      <c r="E2" s="24" t="s">
        <v>51</v>
      </c>
      <c r="F2" s="25" t="s">
        <v>52</v>
      </c>
      <c r="G2" s="26" t="s">
        <v>53</v>
      </c>
      <c r="H2" s="27"/>
      <c r="I2" s="27"/>
      <c r="J2" s="27"/>
      <c r="K2" s="27"/>
      <c r="L2" s="21"/>
      <c r="M2" s="21"/>
      <c r="N2" s="21"/>
      <c r="O2" s="21"/>
      <c r="P2" s="156" t="s">
        <v>54</v>
      </c>
      <c r="Q2" s="153"/>
      <c r="R2" s="140"/>
      <c r="S2" s="21"/>
      <c r="T2" s="21"/>
      <c r="U2" s="21"/>
      <c r="V2" s="21"/>
      <c r="W2" s="21"/>
      <c r="X2" s="21"/>
      <c r="Y2" s="21"/>
      <c r="Z2" s="21"/>
    </row>
    <row r="3" spans="1:26" ht="15.75" customHeight="1">
      <c r="A3" s="21"/>
      <c r="B3" s="27"/>
      <c r="C3" s="27"/>
      <c r="D3" s="27"/>
      <c r="E3" s="28"/>
      <c r="F3" s="28"/>
      <c r="G3" s="28"/>
      <c r="H3" s="28"/>
      <c r="I3" s="28"/>
      <c r="J3" s="27"/>
      <c r="K3" s="27"/>
      <c r="L3" s="21"/>
      <c r="M3" s="21"/>
      <c r="N3" s="21"/>
      <c r="O3" s="21"/>
      <c r="P3" s="29"/>
      <c r="Q3" s="29"/>
      <c r="R3" s="29"/>
      <c r="S3" s="21"/>
      <c r="T3" s="21"/>
      <c r="U3" s="21"/>
      <c r="V3" s="21"/>
      <c r="W3" s="21"/>
      <c r="X3" s="21"/>
      <c r="Y3" s="21"/>
      <c r="Z3" s="21"/>
    </row>
    <row r="4" spans="1:26" ht="15.75" customHeight="1">
      <c r="A4" s="21"/>
      <c r="B4" s="157" t="s">
        <v>55</v>
      </c>
      <c r="C4" s="158"/>
      <c r="D4" s="30"/>
      <c r="E4" s="159" t="s">
        <v>38</v>
      </c>
      <c r="F4" s="160"/>
      <c r="G4" s="160"/>
      <c r="H4" s="160"/>
      <c r="I4" s="161"/>
      <c r="J4" s="27"/>
      <c r="K4" s="27"/>
      <c r="L4" s="21"/>
      <c r="M4" s="21"/>
      <c r="N4" s="21"/>
      <c r="O4" s="21"/>
      <c r="P4" s="29"/>
      <c r="Q4" s="29"/>
      <c r="R4" s="29"/>
      <c r="S4" s="21"/>
      <c r="T4" s="21"/>
      <c r="U4" s="21"/>
      <c r="V4" s="21"/>
      <c r="W4" s="21"/>
      <c r="X4" s="21"/>
      <c r="Y4" s="21"/>
      <c r="Z4" s="21"/>
    </row>
    <row r="5" spans="1:26" ht="15.75" customHeight="1">
      <c r="A5" s="21"/>
      <c r="B5" s="31" t="s">
        <v>56</v>
      </c>
      <c r="C5" s="31">
        <f>C13</f>
        <v>0</v>
      </c>
      <c r="D5" s="30"/>
      <c r="E5" s="32"/>
      <c r="F5" s="33"/>
      <c r="G5" s="33"/>
      <c r="H5" s="34"/>
      <c r="I5" s="34"/>
      <c r="J5" s="27"/>
      <c r="K5" s="27"/>
      <c r="L5" s="21"/>
      <c r="M5" s="21"/>
      <c r="N5" s="21"/>
      <c r="O5" s="21"/>
      <c r="P5" s="29"/>
      <c r="Q5" s="29"/>
      <c r="R5" s="29"/>
      <c r="S5" s="21"/>
      <c r="T5" s="21"/>
      <c r="U5" s="21"/>
      <c r="V5" s="21"/>
      <c r="W5" s="21"/>
      <c r="X5" s="21"/>
      <c r="Y5" s="21"/>
      <c r="Z5" s="21"/>
    </row>
    <row r="6" spans="1:26" ht="15.75" customHeight="1">
      <c r="A6" s="21"/>
      <c r="B6" s="35" t="s">
        <v>32</v>
      </c>
      <c r="C6" s="35">
        <f>E13</f>
        <v>0</v>
      </c>
      <c r="D6" s="30"/>
      <c r="E6" s="36"/>
      <c r="F6" s="37"/>
      <c r="G6" s="38"/>
      <c r="H6" s="39"/>
      <c r="I6" s="39"/>
      <c r="J6" s="27"/>
      <c r="K6" s="27"/>
      <c r="L6" s="21"/>
      <c r="M6" s="21"/>
      <c r="N6" s="21"/>
      <c r="O6" s="21"/>
      <c r="P6" s="29"/>
      <c r="Q6" s="29"/>
      <c r="R6" s="29"/>
      <c r="S6" s="21"/>
      <c r="T6" s="21"/>
      <c r="U6" s="21"/>
      <c r="V6" s="21"/>
      <c r="W6" s="21"/>
      <c r="X6" s="21"/>
      <c r="Y6" s="21"/>
      <c r="Z6" s="21"/>
    </row>
    <row r="7" spans="1:26" ht="15.75" customHeight="1">
      <c r="A7" s="21"/>
      <c r="B7" s="40" t="s">
        <v>34</v>
      </c>
      <c r="C7" s="40">
        <f>H13+I13</f>
        <v>0</v>
      </c>
      <c r="D7" s="30"/>
      <c r="E7" s="162"/>
      <c r="F7" s="163"/>
      <c r="G7" s="163"/>
      <c r="H7" s="163"/>
      <c r="I7" s="164"/>
      <c r="J7" s="27"/>
      <c r="K7" s="27"/>
      <c r="L7" s="21"/>
      <c r="M7" s="21"/>
      <c r="N7" s="21"/>
      <c r="O7" s="21"/>
      <c r="P7" s="29"/>
      <c r="Q7" s="29"/>
      <c r="R7" s="29"/>
      <c r="S7" s="21"/>
      <c r="T7" s="21"/>
      <c r="U7" s="21"/>
      <c r="V7" s="21"/>
      <c r="W7" s="21"/>
      <c r="X7" s="21"/>
      <c r="Y7" s="21"/>
      <c r="Z7" s="21"/>
    </row>
    <row r="8" spans="1:26" ht="15.75" customHeight="1">
      <c r="A8" s="21"/>
      <c r="B8" s="41" t="s">
        <v>57</v>
      </c>
      <c r="C8" s="41">
        <f>C5+C6-C7-E7</f>
        <v>0</v>
      </c>
      <c r="D8" s="27"/>
      <c r="E8" s="27"/>
      <c r="F8" s="27"/>
      <c r="G8" s="27"/>
      <c r="H8" s="27"/>
      <c r="I8" s="27"/>
      <c r="J8" s="27"/>
      <c r="K8" s="27"/>
      <c r="L8" s="21"/>
      <c r="M8" s="21"/>
      <c r="N8" s="21"/>
      <c r="O8" s="21"/>
      <c r="P8" s="29"/>
      <c r="Q8" s="29"/>
      <c r="R8" s="29"/>
      <c r="S8" s="21"/>
      <c r="T8" s="21"/>
      <c r="U8" s="21"/>
      <c r="V8" s="21"/>
      <c r="W8" s="21"/>
      <c r="X8" s="21"/>
      <c r="Y8" s="21"/>
      <c r="Z8" s="21"/>
    </row>
    <row r="9" spans="1:26" ht="15.75" customHeight="1">
      <c r="A9" s="21"/>
      <c r="B9" s="42"/>
      <c r="C9" s="27"/>
      <c r="D9" s="27"/>
      <c r="E9" s="42"/>
      <c r="F9" s="42"/>
      <c r="G9" s="42"/>
      <c r="H9" s="42"/>
      <c r="I9" s="42"/>
      <c r="J9" s="42"/>
      <c r="K9" s="27"/>
      <c r="L9" s="21"/>
      <c r="M9" s="21"/>
      <c r="N9" s="21"/>
      <c r="O9" s="21"/>
      <c r="P9" s="43"/>
      <c r="Q9" s="29"/>
      <c r="R9" s="29"/>
      <c r="S9" s="21"/>
      <c r="T9" s="21"/>
      <c r="U9" s="21"/>
      <c r="V9" s="21"/>
      <c r="W9" s="21"/>
      <c r="X9" s="21"/>
      <c r="Y9" s="21"/>
      <c r="Z9" s="21"/>
    </row>
    <row r="10" spans="1:26" ht="15.75" customHeight="1">
      <c r="A10" s="21"/>
      <c r="B10" s="165" t="s">
        <v>30</v>
      </c>
      <c r="C10" s="174" t="s">
        <v>56</v>
      </c>
      <c r="D10" s="175"/>
      <c r="E10" s="167" t="s">
        <v>32</v>
      </c>
      <c r="F10" s="168"/>
      <c r="G10" s="169"/>
      <c r="H10" s="170" t="s">
        <v>34</v>
      </c>
      <c r="I10" s="168"/>
      <c r="J10" s="169"/>
      <c r="K10" s="27"/>
      <c r="L10" s="21"/>
      <c r="M10" s="21"/>
      <c r="N10" s="21"/>
      <c r="O10" s="21"/>
      <c r="P10" s="29"/>
      <c r="Q10" s="29"/>
      <c r="R10" s="29"/>
      <c r="S10" s="21"/>
      <c r="T10" s="21"/>
      <c r="U10" s="21"/>
      <c r="V10" s="21"/>
      <c r="W10" s="21"/>
      <c r="X10" s="21"/>
      <c r="Y10" s="21"/>
      <c r="Z10" s="21"/>
    </row>
    <row r="11" spans="1:26" ht="15.75" customHeight="1">
      <c r="A11" s="21"/>
      <c r="B11" s="166"/>
      <c r="C11" s="45" t="s">
        <v>58</v>
      </c>
      <c r="D11" s="45" t="s">
        <v>59</v>
      </c>
      <c r="E11" s="46" t="s">
        <v>60</v>
      </c>
      <c r="F11" s="46" t="s">
        <v>61</v>
      </c>
      <c r="G11" s="46" t="s">
        <v>62</v>
      </c>
      <c r="H11" s="47" t="s">
        <v>35</v>
      </c>
      <c r="I11" s="48" t="s">
        <v>63</v>
      </c>
      <c r="J11" s="49" t="s">
        <v>64</v>
      </c>
      <c r="K11" s="27"/>
      <c r="L11" s="50"/>
      <c r="M11" s="50"/>
      <c r="N11" s="50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5.75" customHeight="1">
      <c r="A12" s="21"/>
      <c r="B12" s="51" t="s">
        <v>65</v>
      </c>
      <c r="C12" s="52"/>
      <c r="D12" s="52"/>
      <c r="E12" s="53"/>
      <c r="F12" s="53"/>
      <c r="G12" s="53"/>
      <c r="H12" s="54"/>
      <c r="I12" s="55"/>
      <c r="J12" s="56"/>
      <c r="K12" s="27"/>
      <c r="L12" s="50"/>
      <c r="M12" s="50"/>
      <c r="N12" s="50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5.75" customHeight="1">
      <c r="A13" s="21"/>
      <c r="B13" s="57" t="s">
        <v>66</v>
      </c>
      <c r="C13" s="174"/>
      <c r="D13" s="175"/>
      <c r="E13" s="167"/>
      <c r="F13" s="169"/>
      <c r="G13" s="58"/>
      <c r="H13" s="40"/>
      <c r="I13" s="176"/>
      <c r="J13" s="175"/>
      <c r="K13" s="27"/>
      <c r="L13" s="27"/>
      <c r="M13" s="27"/>
      <c r="N13" s="27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5.75" customHeight="1">
      <c r="A14" s="21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.75" customHeight="1">
      <c r="A15" s="21"/>
      <c r="B15" s="59" t="s">
        <v>67</v>
      </c>
      <c r="C15" s="60"/>
      <c r="D15" s="60"/>
      <c r="E15" s="60"/>
      <c r="F15" s="50"/>
      <c r="G15" s="50"/>
      <c r="H15" s="50"/>
      <c r="I15" s="50"/>
      <c r="J15" s="50"/>
      <c r="K15" s="50"/>
      <c r="L15" s="50"/>
      <c r="M15" s="50"/>
      <c r="N15" s="50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.75" customHeight="1">
      <c r="A16" s="21"/>
      <c r="B16" s="61" t="s">
        <v>68</v>
      </c>
      <c r="C16" s="44" t="s">
        <v>69</v>
      </c>
      <c r="D16" s="62" t="s">
        <v>70</v>
      </c>
      <c r="E16" s="49" t="s">
        <v>66</v>
      </c>
      <c r="F16" s="27"/>
      <c r="G16" s="27"/>
      <c r="H16" s="27"/>
      <c r="I16" s="27"/>
      <c r="J16" s="27"/>
      <c r="K16" s="27"/>
      <c r="L16" s="27"/>
      <c r="M16" s="27"/>
      <c r="N16" s="27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customHeight="1">
      <c r="A17" s="21"/>
      <c r="B17" s="63" t="s">
        <v>71</v>
      </c>
      <c r="C17" s="64"/>
      <c r="D17" s="65"/>
      <c r="E17" s="49"/>
      <c r="F17" s="27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.75" customHeight="1">
      <c r="A18" s="21"/>
      <c r="B18" s="66" t="s">
        <v>72</v>
      </c>
      <c r="C18" s="64"/>
      <c r="D18" s="65"/>
      <c r="E18" s="49"/>
      <c r="F18" s="27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customHeight="1">
      <c r="A19" s="21"/>
      <c r="B19" s="66" t="s">
        <v>73</v>
      </c>
      <c r="C19" s="64"/>
      <c r="D19" s="65"/>
      <c r="E19" s="49"/>
      <c r="F19" s="27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customHeight="1">
      <c r="A20" s="21"/>
      <c r="B20" s="66" t="s">
        <v>74</v>
      </c>
      <c r="C20" s="67"/>
      <c r="D20" s="68"/>
      <c r="E20" s="49"/>
      <c r="F20" s="27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.75" customHeight="1">
      <c r="A21" s="21"/>
      <c r="B21" s="69" t="s">
        <v>66</v>
      </c>
      <c r="C21" s="57"/>
      <c r="D21" s="70"/>
      <c r="E21" s="49"/>
      <c r="F21" s="27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customHeight="1">
      <c r="A22" s="21"/>
      <c r="B22" s="27"/>
      <c r="C22" s="27"/>
      <c r="D22" s="27"/>
      <c r="E22" s="27"/>
      <c r="F22" s="27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75" customHeight="1">
      <c r="A23" s="21"/>
      <c r="B23" s="59" t="s">
        <v>75</v>
      </c>
      <c r="C23" s="50"/>
      <c r="D23" s="50"/>
      <c r="E23" s="50"/>
      <c r="F23" s="50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.75" customHeight="1">
      <c r="A24" s="21"/>
      <c r="B24" s="37" t="s">
        <v>30</v>
      </c>
      <c r="C24" s="37" t="s">
        <v>76</v>
      </c>
      <c r="D24" s="37" t="s">
        <v>77</v>
      </c>
      <c r="E24" s="37" t="s">
        <v>34</v>
      </c>
      <c r="F24" s="27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customHeight="1">
      <c r="A25" s="21"/>
      <c r="B25" s="177" t="s">
        <v>35</v>
      </c>
      <c r="C25" s="37"/>
      <c r="D25" s="37"/>
      <c r="E25" s="37"/>
      <c r="F25" s="27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.75" customHeight="1">
      <c r="A26" s="21"/>
      <c r="B26" s="178"/>
      <c r="C26" s="37"/>
      <c r="D26" s="37"/>
      <c r="E26" s="37"/>
      <c r="F26" s="27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.75" customHeight="1">
      <c r="A27" s="21"/>
      <c r="B27" s="178"/>
      <c r="C27" s="37"/>
      <c r="D27" s="37"/>
      <c r="E27" s="37"/>
      <c r="F27" s="27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.75" customHeight="1">
      <c r="A28" s="21"/>
      <c r="B28" s="178"/>
      <c r="C28" s="71"/>
      <c r="D28" s="71"/>
      <c r="E28" s="7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customHeight="1">
      <c r="A29" s="21"/>
      <c r="B29" s="178"/>
      <c r="C29" s="71"/>
      <c r="D29" s="71"/>
      <c r="E29" s="71"/>
      <c r="F29" s="27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customHeight="1">
      <c r="A30" s="21"/>
      <c r="B30" s="178"/>
      <c r="C30" s="71"/>
      <c r="D30" s="71"/>
      <c r="E30" s="71"/>
      <c r="F30" s="27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5.75" customHeight="1">
      <c r="A31" s="21"/>
      <c r="B31" s="178"/>
      <c r="C31" s="37"/>
      <c r="D31" s="37"/>
      <c r="E31" s="37"/>
      <c r="F31" s="27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.75" customHeight="1">
      <c r="A32" s="21"/>
      <c r="B32" s="178"/>
      <c r="C32" s="37"/>
      <c r="D32" s="37"/>
      <c r="E32" s="37"/>
      <c r="F32" s="27"/>
      <c r="G32" s="21"/>
      <c r="H32" s="27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.75" customHeight="1">
      <c r="A33" s="21"/>
      <c r="B33" s="178"/>
      <c r="C33" s="37"/>
      <c r="D33" s="37"/>
      <c r="E33" s="37"/>
      <c r="F33" s="27"/>
      <c r="G33" s="27"/>
      <c r="H33" s="27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.75" customHeight="1">
      <c r="A34" s="21"/>
      <c r="B34" s="178"/>
      <c r="C34" s="37"/>
      <c r="D34" s="37"/>
      <c r="E34" s="37"/>
      <c r="F34" s="27"/>
      <c r="G34" s="27"/>
      <c r="H34" s="27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5.75" customHeight="1">
      <c r="A35" s="21"/>
      <c r="B35" s="178"/>
      <c r="C35" s="37"/>
      <c r="D35" s="37"/>
      <c r="E35" s="37"/>
      <c r="F35" s="27"/>
      <c r="G35" s="27"/>
      <c r="H35" s="27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.75" customHeight="1">
      <c r="A36" s="21"/>
      <c r="B36" s="178"/>
      <c r="C36" s="37"/>
      <c r="D36" s="37"/>
      <c r="E36" s="37"/>
      <c r="F36" s="27"/>
      <c r="G36" s="27"/>
      <c r="H36" s="27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.75" customHeight="1">
      <c r="A37" s="21"/>
      <c r="B37" s="178"/>
      <c r="C37" s="37"/>
      <c r="D37" s="37"/>
      <c r="E37" s="37"/>
      <c r="F37" s="27"/>
      <c r="G37" s="27"/>
      <c r="H37" s="27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.75" customHeight="1">
      <c r="A38" s="21"/>
      <c r="B38" s="178"/>
      <c r="C38" s="37"/>
      <c r="D38" s="37"/>
      <c r="E38" s="37"/>
      <c r="F38" s="27"/>
      <c r="G38" s="27"/>
      <c r="H38" s="27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.75" customHeight="1">
      <c r="A39" s="21"/>
      <c r="B39" s="178"/>
      <c r="C39" s="37"/>
      <c r="D39" s="37"/>
      <c r="E39" s="37"/>
      <c r="F39" s="27"/>
      <c r="G39" s="27"/>
      <c r="H39" s="27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.75" customHeight="1">
      <c r="A40" s="21"/>
      <c r="B40" s="179" t="s">
        <v>66</v>
      </c>
      <c r="C40" s="180"/>
      <c r="D40" s="175"/>
      <c r="E40" s="72">
        <f>SUM(E25:E39)</f>
        <v>0</v>
      </c>
      <c r="F40" s="27"/>
      <c r="G40" s="27"/>
      <c r="H40" s="27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.75" customHeight="1">
      <c r="A41" s="21"/>
      <c r="B41" s="27"/>
      <c r="C41" s="27"/>
      <c r="D41" s="27"/>
      <c r="E41" s="27"/>
      <c r="F41" s="27"/>
      <c r="G41" s="27"/>
      <c r="H41" s="27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.75" customHeight="1">
      <c r="A42" s="21"/>
      <c r="B42" s="59" t="s">
        <v>78</v>
      </c>
      <c r="C42" s="50"/>
      <c r="D42" s="50"/>
      <c r="E42" s="50"/>
      <c r="F42" s="50"/>
      <c r="G42" s="50"/>
      <c r="H42" s="60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customHeight="1">
      <c r="A43" s="21"/>
      <c r="B43" s="37" t="s">
        <v>79</v>
      </c>
      <c r="C43" s="37" t="s">
        <v>77</v>
      </c>
      <c r="D43" s="37" t="s">
        <v>65</v>
      </c>
      <c r="E43" s="37" t="s">
        <v>80</v>
      </c>
      <c r="F43" s="37" t="s">
        <v>57</v>
      </c>
      <c r="G43" s="61" t="s">
        <v>81</v>
      </c>
      <c r="H43" s="37" t="s">
        <v>82</v>
      </c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.75" customHeight="1">
      <c r="A44" s="21"/>
      <c r="B44" s="37"/>
      <c r="C44" s="37"/>
      <c r="D44" s="37"/>
      <c r="E44" s="73"/>
      <c r="F44" s="37"/>
      <c r="G44" s="57">
        <f t="shared" ref="G44:G45" si="0">H44-B44</f>
        <v>0</v>
      </c>
      <c r="H44" s="37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.75" customHeight="1">
      <c r="A45" s="21"/>
      <c r="B45" s="37"/>
      <c r="C45" s="37"/>
      <c r="D45" s="37"/>
      <c r="E45" s="73"/>
      <c r="F45" s="37"/>
      <c r="G45" s="57">
        <f t="shared" si="0"/>
        <v>0</v>
      </c>
      <c r="H45" s="37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customHeight="1">
      <c r="A48" s="21"/>
      <c r="B48" s="181" t="s">
        <v>83</v>
      </c>
      <c r="C48" s="182"/>
      <c r="D48" s="74">
        <f>SUM(D44:D47)</f>
        <v>0</v>
      </c>
      <c r="E48" s="57" t="s">
        <v>84</v>
      </c>
      <c r="F48" s="57">
        <f>SUM(F44:F47)</f>
        <v>0</v>
      </c>
      <c r="G48" s="27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customHeight="1">
      <c r="A49" s="21"/>
      <c r="B49" s="27"/>
      <c r="C49" s="27"/>
      <c r="D49" s="27"/>
      <c r="E49" s="27"/>
      <c r="F49" s="27"/>
      <c r="G49" s="27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customHeight="1">
      <c r="A50" s="21"/>
      <c r="B50" s="59" t="s">
        <v>85</v>
      </c>
      <c r="C50" s="50"/>
      <c r="D50" s="50"/>
      <c r="E50" s="50"/>
      <c r="F50" s="50"/>
      <c r="G50" s="50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customHeight="1">
      <c r="A51" s="21"/>
      <c r="B51" s="75" t="s">
        <v>86</v>
      </c>
      <c r="C51" s="76" t="s">
        <v>77</v>
      </c>
      <c r="D51" s="76" t="s">
        <v>87</v>
      </c>
      <c r="E51" s="76" t="s">
        <v>65</v>
      </c>
      <c r="F51" s="171" t="s">
        <v>80</v>
      </c>
      <c r="G51" s="172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.75" customHeight="1">
      <c r="A52" s="21"/>
      <c r="B52" s="173" t="s">
        <v>88</v>
      </c>
      <c r="C52" s="168"/>
      <c r="D52" s="169"/>
      <c r="E52" s="49"/>
      <c r="F52" s="57" t="s">
        <v>89</v>
      </c>
      <c r="G52" s="77" t="s">
        <v>90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.75" customHeight="1">
      <c r="A53" s="21"/>
      <c r="B53" s="78">
        <v>45326</v>
      </c>
      <c r="C53" s="57" t="s">
        <v>91</v>
      </c>
      <c r="D53" s="57" t="s">
        <v>92</v>
      </c>
      <c r="E53" s="57">
        <v>500000</v>
      </c>
      <c r="F53" s="79" t="s">
        <v>93</v>
      </c>
      <c r="G53" s="77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.75" customHeight="1">
      <c r="A54" s="21"/>
      <c r="B54" s="78">
        <v>45333</v>
      </c>
      <c r="C54" s="57" t="s">
        <v>94</v>
      </c>
      <c r="D54" s="57" t="s">
        <v>95</v>
      </c>
      <c r="E54" s="57">
        <v>300000</v>
      </c>
      <c r="F54" s="79" t="s">
        <v>93</v>
      </c>
      <c r="G54" s="77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.75" customHeight="1">
      <c r="A55" s="21"/>
      <c r="B55" s="78">
        <v>45346</v>
      </c>
      <c r="C55" s="57" t="s">
        <v>96</v>
      </c>
      <c r="D55" s="57" t="s">
        <v>97</v>
      </c>
      <c r="E55" s="57">
        <v>100000</v>
      </c>
      <c r="F55" s="79" t="s">
        <v>93</v>
      </c>
      <c r="G55" s="77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.75" customHeight="1">
      <c r="A56" s="21"/>
      <c r="B56" s="78">
        <v>45349</v>
      </c>
      <c r="C56" s="57" t="s">
        <v>98</v>
      </c>
      <c r="D56" s="57" t="s">
        <v>99</v>
      </c>
      <c r="E56" s="57">
        <v>120000</v>
      </c>
      <c r="F56" s="79" t="s">
        <v>93</v>
      </c>
      <c r="G56" s="77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6">
    <mergeCell ref="I13:J13"/>
    <mergeCell ref="B25:B39"/>
    <mergeCell ref="B40:D40"/>
    <mergeCell ref="B48:C48"/>
    <mergeCell ref="F51:G51"/>
    <mergeCell ref="B52:D52"/>
    <mergeCell ref="C10:D10"/>
    <mergeCell ref="C13:D13"/>
    <mergeCell ref="E13:F13"/>
    <mergeCell ref="P2:R2"/>
    <mergeCell ref="B4:C4"/>
    <mergeCell ref="E4:I4"/>
    <mergeCell ref="E7:I7"/>
    <mergeCell ref="B10:B11"/>
    <mergeCell ref="E10:G10"/>
    <mergeCell ref="H10:J10"/>
  </mergeCells>
  <phoneticPr fontId="1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1"/>
  <sheetViews>
    <sheetView workbookViewId="0"/>
  </sheetViews>
  <sheetFormatPr defaultColWidth="12.6640625" defaultRowHeight="15" customHeight="1"/>
  <cols>
    <col min="1" max="1" width="2.33203125" customWidth="1"/>
    <col min="2" max="2" width="14.33203125" customWidth="1"/>
    <col min="3" max="3" width="15.77734375" customWidth="1"/>
    <col min="4" max="4" width="14.109375" customWidth="1"/>
    <col min="5" max="5" width="8.77734375" customWidth="1"/>
    <col min="6" max="6" width="9.109375" customWidth="1"/>
    <col min="7" max="7" width="10" customWidth="1"/>
    <col min="8" max="8" width="20.44140625" customWidth="1"/>
    <col min="9" max="10" width="8.77734375" customWidth="1"/>
    <col min="11" max="26" width="8.33203125" customWidth="1"/>
  </cols>
  <sheetData>
    <row r="1" spans="1:26" ht="15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>
      <c r="A2" s="8"/>
      <c r="B2" s="22" t="s">
        <v>100</v>
      </c>
      <c r="C2" s="22"/>
      <c r="D2" s="80"/>
      <c r="E2" s="81" t="s">
        <v>51</v>
      </c>
      <c r="F2" s="82" t="s">
        <v>52</v>
      </c>
      <c r="G2" s="83" t="s">
        <v>53</v>
      </c>
      <c r="H2" s="14"/>
      <c r="I2" s="14"/>
      <c r="J2" s="14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>
      <c r="A3" s="8"/>
      <c r="B3" s="14"/>
      <c r="C3" s="14"/>
      <c r="D3" s="14"/>
      <c r="E3" s="84"/>
      <c r="F3" s="84"/>
      <c r="G3" s="84"/>
      <c r="H3" s="84"/>
      <c r="I3" s="84"/>
      <c r="J3" s="14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>
      <c r="A4" s="8"/>
      <c r="B4" s="193" t="s">
        <v>55</v>
      </c>
      <c r="C4" s="158"/>
      <c r="D4" s="85"/>
      <c r="E4" s="194" t="s">
        <v>38</v>
      </c>
      <c r="F4" s="160"/>
      <c r="G4" s="160"/>
      <c r="H4" s="160"/>
      <c r="I4" s="160"/>
      <c r="J4" s="16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>
      <c r="A5" s="8"/>
      <c r="B5" s="86" t="s">
        <v>56</v>
      </c>
      <c r="C5" s="86">
        <f>C13</f>
        <v>567331</v>
      </c>
      <c r="D5" s="85"/>
      <c r="E5" s="32" t="s">
        <v>39</v>
      </c>
      <c r="F5" s="33" t="s">
        <v>40</v>
      </c>
      <c r="G5" s="33" t="s">
        <v>41</v>
      </c>
      <c r="H5" s="34" t="s">
        <v>42</v>
      </c>
      <c r="I5" s="34" t="s">
        <v>101</v>
      </c>
      <c r="J5" s="34" t="s">
        <v>102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>
      <c r="A6" s="8"/>
      <c r="B6" s="87" t="s">
        <v>32</v>
      </c>
      <c r="C6" s="87">
        <f>E13</f>
        <v>11435984</v>
      </c>
      <c r="D6" s="85"/>
      <c r="E6" s="36">
        <v>250000</v>
      </c>
      <c r="F6" s="88">
        <v>100000</v>
      </c>
      <c r="G6" s="89">
        <v>100000</v>
      </c>
      <c r="H6" s="90">
        <v>100000</v>
      </c>
      <c r="I6" s="90">
        <v>200000</v>
      </c>
      <c r="J6" s="90">
        <v>4909810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8"/>
      <c r="B7" s="91" t="s">
        <v>34</v>
      </c>
      <c r="C7" s="91">
        <f>H13+I13</f>
        <v>3661405</v>
      </c>
      <c r="D7" s="85"/>
      <c r="E7" s="195">
        <f>SUM(E6:J6)</f>
        <v>5659810</v>
      </c>
      <c r="F7" s="163"/>
      <c r="G7" s="163"/>
      <c r="H7" s="163"/>
      <c r="I7" s="163"/>
      <c r="J7" s="164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>
      <c r="A8" s="8"/>
      <c r="B8" s="92" t="s">
        <v>57</v>
      </c>
      <c r="C8" s="92">
        <f>C5+C6-C7-E7</f>
        <v>2682100</v>
      </c>
      <c r="D8" s="14"/>
      <c r="E8" s="14"/>
      <c r="F8" s="14"/>
      <c r="G8" s="14"/>
      <c r="H8" s="14"/>
      <c r="I8" s="14"/>
      <c r="J8" s="14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>
      <c r="A9" s="8"/>
      <c r="B9" s="93"/>
      <c r="C9" s="14"/>
      <c r="D9" s="14"/>
      <c r="E9" s="60" t="s">
        <v>103</v>
      </c>
      <c r="F9" s="93"/>
      <c r="G9" s="93"/>
      <c r="H9" s="93"/>
      <c r="I9" s="93"/>
      <c r="J9" s="93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8"/>
      <c r="B10" s="196" t="s">
        <v>30</v>
      </c>
      <c r="C10" s="197" t="s">
        <v>56</v>
      </c>
      <c r="D10" s="198"/>
      <c r="E10" s="199" t="s">
        <v>32</v>
      </c>
      <c r="F10" s="168"/>
      <c r="G10" s="169"/>
      <c r="H10" s="200" t="s">
        <v>34</v>
      </c>
      <c r="I10" s="168"/>
      <c r="J10" s="169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>
      <c r="A11" s="8"/>
      <c r="B11" s="166"/>
      <c r="C11" s="45" t="s">
        <v>104</v>
      </c>
      <c r="D11" s="95" t="s">
        <v>59</v>
      </c>
      <c r="E11" s="46" t="s">
        <v>105</v>
      </c>
      <c r="F11" s="46" t="s">
        <v>106</v>
      </c>
      <c r="G11" s="96" t="s">
        <v>62</v>
      </c>
      <c r="H11" s="97" t="s">
        <v>35</v>
      </c>
      <c r="I11" s="98" t="s">
        <v>63</v>
      </c>
      <c r="J11" s="99" t="s">
        <v>64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>
      <c r="A12" s="8"/>
      <c r="B12" s="100" t="s">
        <v>65</v>
      </c>
      <c r="C12" s="101">
        <v>567331</v>
      </c>
      <c r="D12" s="101">
        <v>0</v>
      </c>
      <c r="E12" s="102">
        <v>6526174</v>
      </c>
      <c r="F12" s="102">
        <v>4909810</v>
      </c>
      <c r="G12" s="102"/>
      <c r="H12" s="103">
        <f>E42</f>
        <v>2533238</v>
      </c>
      <c r="I12" s="104">
        <f>SUMIF(F55:F1063,"계좌",E55:E1063)</f>
        <v>743000</v>
      </c>
      <c r="J12" s="105">
        <f>E21</f>
        <v>385167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>
      <c r="A13" s="8"/>
      <c r="B13" s="106" t="s">
        <v>66</v>
      </c>
      <c r="C13" s="183">
        <f>SUM(C12:D12)</f>
        <v>567331</v>
      </c>
      <c r="D13" s="184"/>
      <c r="E13" s="185">
        <f>SUM(E12:G12)</f>
        <v>11435984</v>
      </c>
      <c r="F13" s="186"/>
      <c r="G13" s="184"/>
      <c r="H13" s="91">
        <f>SUM(H12)</f>
        <v>2533238</v>
      </c>
      <c r="I13" s="187">
        <f>SUM(I12:J12)</f>
        <v>1128167</v>
      </c>
      <c r="J13" s="175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>
      <c r="A14" s="8"/>
      <c r="B14" s="14"/>
      <c r="C14" s="14"/>
      <c r="D14" s="14"/>
      <c r="E14" s="14"/>
      <c r="F14" s="14"/>
      <c r="G14" s="14"/>
      <c r="H14" s="14"/>
      <c r="I14" s="14"/>
      <c r="J14" s="14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>
      <c r="A15" s="8"/>
      <c r="B15" s="107" t="s">
        <v>107</v>
      </c>
      <c r="C15" s="108"/>
      <c r="D15" s="108"/>
      <c r="E15" s="108"/>
      <c r="F15" s="109"/>
      <c r="G15" s="109"/>
      <c r="H15" s="109"/>
      <c r="I15" s="109"/>
      <c r="J15" s="109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>
      <c r="A16" s="8"/>
      <c r="B16" s="110" t="s">
        <v>68</v>
      </c>
      <c r="C16" s="94" t="s">
        <v>69</v>
      </c>
      <c r="D16" s="111" t="s">
        <v>70</v>
      </c>
      <c r="E16" s="99" t="s">
        <v>66</v>
      </c>
      <c r="F16" s="50" t="s">
        <v>108</v>
      </c>
      <c r="G16" s="14"/>
      <c r="H16" s="14"/>
      <c r="I16" s="14"/>
      <c r="J16" s="14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>
      <c r="A17" s="8"/>
      <c r="B17" s="112" t="s">
        <v>109</v>
      </c>
      <c r="C17" s="113">
        <v>376067</v>
      </c>
      <c r="D17" s="114">
        <f t="shared" ref="D17:D20" si="0">SUMIF(E$46:E$48,B17,D$46:D$49)</f>
        <v>0</v>
      </c>
      <c r="E17" s="99">
        <f t="shared" ref="E17:E20" si="1">SUM(C17:D17)</f>
        <v>376067</v>
      </c>
      <c r="F17" s="14"/>
      <c r="G17" s="14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>
      <c r="A18" s="8"/>
      <c r="B18" s="66" t="s">
        <v>110</v>
      </c>
      <c r="C18" s="113"/>
      <c r="D18" s="114">
        <f t="shared" si="0"/>
        <v>0</v>
      </c>
      <c r="E18" s="99">
        <f t="shared" si="1"/>
        <v>0</v>
      </c>
      <c r="F18" s="14"/>
      <c r="G18" s="14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>
      <c r="A19" s="8"/>
      <c r="B19" s="66" t="s">
        <v>111</v>
      </c>
      <c r="C19" s="113"/>
      <c r="D19" s="114">
        <f t="shared" si="0"/>
        <v>0</v>
      </c>
      <c r="E19" s="99">
        <f t="shared" si="1"/>
        <v>0</v>
      </c>
      <c r="F19" s="109" t="s">
        <v>112</v>
      </c>
      <c r="G19" s="14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>
      <c r="A20" s="8"/>
      <c r="B20" s="66" t="s">
        <v>113</v>
      </c>
      <c r="C20" s="115">
        <v>9100</v>
      </c>
      <c r="D20" s="116">
        <f t="shared" si="0"/>
        <v>0</v>
      </c>
      <c r="E20" s="99">
        <f t="shared" si="1"/>
        <v>9100</v>
      </c>
      <c r="F20" s="14"/>
      <c r="G20" s="14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8"/>
      <c r="B21" s="117" t="s">
        <v>66</v>
      </c>
      <c r="C21" s="106">
        <f t="shared" ref="C21:E21" si="2">SUM(C17:C20)</f>
        <v>385167</v>
      </c>
      <c r="D21" s="118">
        <f t="shared" si="2"/>
        <v>0</v>
      </c>
      <c r="E21" s="99">
        <f t="shared" si="2"/>
        <v>385167</v>
      </c>
      <c r="F21" s="14"/>
      <c r="G21" s="14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8"/>
      <c r="B22" s="14"/>
      <c r="C22" s="14"/>
      <c r="D22" s="14"/>
      <c r="E22" s="14"/>
      <c r="F22" s="14"/>
      <c r="G22" s="14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8"/>
      <c r="B23" s="107" t="s">
        <v>75</v>
      </c>
      <c r="C23" s="109"/>
      <c r="D23" s="109"/>
      <c r="E23" s="109"/>
      <c r="F23" s="50" t="s">
        <v>114</v>
      </c>
      <c r="G23" s="10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8"/>
      <c r="B24" s="88" t="s">
        <v>30</v>
      </c>
      <c r="C24" s="88" t="s">
        <v>76</v>
      </c>
      <c r="D24" s="88" t="s">
        <v>77</v>
      </c>
      <c r="E24" s="37" t="s">
        <v>115</v>
      </c>
      <c r="F24" s="37" t="s">
        <v>116</v>
      </c>
      <c r="G24" s="14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8"/>
      <c r="B25" s="188" t="s">
        <v>35</v>
      </c>
      <c r="C25" s="88" t="s">
        <v>117</v>
      </c>
      <c r="D25" s="88" t="s">
        <v>118</v>
      </c>
      <c r="E25" s="119">
        <v>140380</v>
      </c>
      <c r="F25" s="88">
        <v>155420</v>
      </c>
      <c r="G25" s="14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8"/>
      <c r="B26" s="178"/>
      <c r="C26" s="88" t="s">
        <v>117</v>
      </c>
      <c r="D26" s="88" t="s">
        <v>119</v>
      </c>
      <c r="E26" s="119">
        <v>112100</v>
      </c>
      <c r="F26" s="88">
        <v>112199</v>
      </c>
      <c r="G26" s="14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178"/>
      <c r="C27" s="88" t="s">
        <v>120</v>
      </c>
      <c r="D27" s="37" t="s">
        <v>121</v>
      </c>
      <c r="E27" s="119">
        <v>32970</v>
      </c>
      <c r="F27" s="88">
        <v>32970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178"/>
      <c r="C28" s="120" t="s">
        <v>120</v>
      </c>
      <c r="D28" s="71" t="s">
        <v>122</v>
      </c>
      <c r="E28" s="121">
        <v>119800</v>
      </c>
      <c r="F28" s="120">
        <v>60800</v>
      </c>
      <c r="G28" s="21" t="s">
        <v>123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178"/>
      <c r="C29" s="88" t="s">
        <v>120</v>
      </c>
      <c r="D29" s="88" t="s">
        <v>124</v>
      </c>
      <c r="E29" s="119">
        <v>23100</v>
      </c>
      <c r="F29" s="88">
        <v>23100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178"/>
      <c r="C30" s="88" t="s">
        <v>125</v>
      </c>
      <c r="D30" s="88" t="s">
        <v>126</v>
      </c>
      <c r="E30" s="119">
        <v>100089</v>
      </c>
      <c r="F30" s="88">
        <v>100089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178"/>
      <c r="C31" s="88" t="s">
        <v>125</v>
      </c>
      <c r="D31" s="37" t="s">
        <v>127</v>
      </c>
      <c r="E31" s="119">
        <v>53105</v>
      </c>
      <c r="F31" s="88">
        <v>53105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178"/>
      <c r="C32" s="88" t="s">
        <v>125</v>
      </c>
      <c r="D32" s="88" t="s">
        <v>128</v>
      </c>
      <c r="E32" s="119">
        <v>21070</v>
      </c>
      <c r="F32" s="88">
        <v>21070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178"/>
      <c r="C33" s="88" t="s">
        <v>125</v>
      </c>
      <c r="D33" s="37" t="s">
        <v>129</v>
      </c>
      <c r="E33" s="119">
        <v>52840</v>
      </c>
      <c r="F33" s="88">
        <v>52840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178"/>
      <c r="C34" s="88" t="s">
        <v>125</v>
      </c>
      <c r="D34" s="37" t="s">
        <v>130</v>
      </c>
      <c r="E34" s="119">
        <v>18014</v>
      </c>
      <c r="F34" s="88">
        <v>18014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178"/>
      <c r="C35" s="88" t="s">
        <v>131</v>
      </c>
      <c r="D35" s="88" t="s">
        <v>132</v>
      </c>
      <c r="E35" s="119">
        <v>8375</v>
      </c>
      <c r="F35" s="88">
        <v>8375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178"/>
      <c r="C36" s="88" t="s">
        <v>133</v>
      </c>
      <c r="D36" s="88" t="s">
        <v>134</v>
      </c>
      <c r="E36" s="119">
        <v>70000</v>
      </c>
      <c r="F36" s="88">
        <v>70000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178"/>
      <c r="C37" s="88" t="s">
        <v>135</v>
      </c>
      <c r="D37" s="37" t="s">
        <v>136</v>
      </c>
      <c r="E37" s="119">
        <v>300000</v>
      </c>
      <c r="F37" s="88">
        <v>300000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178"/>
      <c r="C38" s="120" t="s">
        <v>117</v>
      </c>
      <c r="D38" s="120" t="s">
        <v>137</v>
      </c>
      <c r="E38" s="121">
        <v>463070</v>
      </c>
      <c r="F38" s="120">
        <v>463070</v>
      </c>
      <c r="G38" s="14"/>
      <c r="H38" s="14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178"/>
      <c r="C39" s="120" t="s">
        <v>138</v>
      </c>
      <c r="D39" s="71" t="s">
        <v>139</v>
      </c>
      <c r="E39" s="121">
        <v>0</v>
      </c>
      <c r="F39" s="120">
        <v>10420</v>
      </c>
      <c r="G39" s="109" t="s">
        <v>140</v>
      </c>
      <c r="H39" s="14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178"/>
      <c r="C40" s="88" t="s">
        <v>141</v>
      </c>
      <c r="D40" s="37" t="s">
        <v>142</v>
      </c>
      <c r="E40" s="119">
        <v>39750</v>
      </c>
      <c r="F40" s="88">
        <v>90000</v>
      </c>
      <c r="G40" s="109" t="s">
        <v>143</v>
      </c>
      <c r="H40" s="14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178"/>
      <c r="C41" s="71" t="s">
        <v>61</v>
      </c>
      <c r="D41" s="71" t="s">
        <v>144</v>
      </c>
      <c r="E41" s="121">
        <v>978575</v>
      </c>
      <c r="F41" s="120">
        <v>600000</v>
      </c>
      <c r="G41" s="50" t="s">
        <v>145</v>
      </c>
      <c r="H41" s="27" t="s">
        <v>146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189" t="s">
        <v>66</v>
      </c>
      <c r="C42" s="168"/>
      <c r="D42" s="169"/>
      <c r="E42" s="122">
        <f t="shared" ref="E42:F42" si="3">SUM(E25:E41)</f>
        <v>2533238</v>
      </c>
      <c r="F42" s="122">
        <f t="shared" si="3"/>
        <v>2171472</v>
      </c>
      <c r="G42" s="14"/>
      <c r="H42" s="14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14"/>
      <c r="C43" s="14"/>
      <c r="D43" s="14"/>
      <c r="E43" s="14"/>
      <c r="F43" s="14"/>
      <c r="G43" s="14"/>
      <c r="H43" s="14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107" t="s">
        <v>78</v>
      </c>
      <c r="C44" s="109"/>
      <c r="D44" s="109"/>
      <c r="E44" s="109"/>
      <c r="F44" s="109"/>
      <c r="G44" s="109"/>
      <c r="H44" s="10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8" t="s">
        <v>79</v>
      </c>
      <c r="C45" s="88" t="s">
        <v>77</v>
      </c>
      <c r="D45" s="88" t="s">
        <v>65</v>
      </c>
      <c r="E45" s="88" t="s">
        <v>80</v>
      </c>
      <c r="F45" s="88" t="s">
        <v>57</v>
      </c>
      <c r="G45" s="110" t="s">
        <v>81</v>
      </c>
      <c r="H45" s="88" t="s">
        <v>82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8"/>
      <c r="C46" s="88"/>
      <c r="D46" s="88"/>
      <c r="E46" s="123"/>
      <c r="F46" s="88"/>
      <c r="G46" s="106">
        <f t="shared" ref="G46:G47" si="4">H46-B46</f>
        <v>0</v>
      </c>
      <c r="H46" s="8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8"/>
      <c r="C47" s="88"/>
      <c r="D47" s="88"/>
      <c r="E47" s="123"/>
      <c r="F47" s="88"/>
      <c r="G47" s="106">
        <f t="shared" si="4"/>
        <v>0</v>
      </c>
      <c r="H47" s="8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190" t="s">
        <v>83</v>
      </c>
      <c r="C50" s="140"/>
      <c r="D50" s="124">
        <f>SUM(D46:D49)</f>
        <v>0</v>
      </c>
      <c r="E50" s="17" t="s">
        <v>147</v>
      </c>
      <c r="F50" s="17">
        <f>SUM(F46:F49)</f>
        <v>0</v>
      </c>
      <c r="G50" s="14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14"/>
      <c r="C51" s="14"/>
      <c r="D51" s="14"/>
      <c r="E51" s="14"/>
      <c r="F51" s="14"/>
      <c r="G51" s="14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107" t="s">
        <v>85</v>
      </c>
      <c r="C52" s="109"/>
      <c r="D52" s="109"/>
      <c r="E52" s="109"/>
      <c r="F52" s="109"/>
      <c r="G52" s="109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125" t="s">
        <v>86</v>
      </c>
      <c r="C53" s="126" t="s">
        <v>77</v>
      </c>
      <c r="D53" s="126" t="s">
        <v>87</v>
      </c>
      <c r="E53" s="126" t="s">
        <v>148</v>
      </c>
      <c r="F53" s="191" t="s">
        <v>80</v>
      </c>
      <c r="G53" s="172"/>
      <c r="H53" s="127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192" t="s">
        <v>88</v>
      </c>
      <c r="C54" s="180"/>
      <c r="D54" s="175"/>
      <c r="E54" s="99">
        <f>SUM(E55:E86)</f>
        <v>743000</v>
      </c>
      <c r="F54" s="106" t="s">
        <v>89</v>
      </c>
      <c r="G54" s="128" t="s">
        <v>90</v>
      </c>
      <c r="H54" s="127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129">
        <v>46082</v>
      </c>
      <c r="C55" s="57" t="s">
        <v>149</v>
      </c>
      <c r="D55" s="57" t="s">
        <v>96</v>
      </c>
      <c r="E55" s="106">
        <v>200000</v>
      </c>
      <c r="F55" s="79" t="s">
        <v>93</v>
      </c>
      <c r="G55" s="77"/>
      <c r="H55" s="127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129">
        <v>46078</v>
      </c>
      <c r="C56" s="57" t="s">
        <v>150</v>
      </c>
      <c r="D56" s="57" t="s">
        <v>151</v>
      </c>
      <c r="E56" s="130">
        <v>226000</v>
      </c>
      <c r="F56" s="79" t="s">
        <v>93</v>
      </c>
      <c r="G56" s="77" t="s">
        <v>152</v>
      </c>
      <c r="H56" s="127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129">
        <v>46105</v>
      </c>
      <c r="C57" s="57" t="s">
        <v>153</v>
      </c>
      <c r="D57" s="57" t="s">
        <v>154</v>
      </c>
      <c r="E57" s="106">
        <v>0</v>
      </c>
      <c r="F57" s="79" t="s">
        <v>93</v>
      </c>
      <c r="G57" s="77" t="s">
        <v>155</v>
      </c>
      <c r="H57" s="131" t="s">
        <v>156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129">
        <v>46105</v>
      </c>
      <c r="C58" s="57" t="s">
        <v>157</v>
      </c>
      <c r="D58" s="57" t="s">
        <v>154</v>
      </c>
      <c r="E58" s="106">
        <v>317000</v>
      </c>
      <c r="F58" s="79" t="s">
        <v>93</v>
      </c>
      <c r="G58" s="77" t="s">
        <v>158</v>
      </c>
      <c r="H58" s="127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129">
        <v>46105</v>
      </c>
      <c r="C59" s="57" t="s">
        <v>159</v>
      </c>
      <c r="D59" s="57" t="s">
        <v>154</v>
      </c>
      <c r="E59" s="106">
        <v>0</v>
      </c>
      <c r="F59" s="79" t="s">
        <v>93</v>
      </c>
      <c r="G59" s="77" t="s">
        <v>155</v>
      </c>
      <c r="H59" s="50" t="s">
        <v>160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129"/>
      <c r="C60" s="57"/>
      <c r="D60" s="57"/>
      <c r="E60" s="106"/>
      <c r="F60" s="79"/>
      <c r="G60" s="77"/>
      <c r="H60" s="127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129"/>
      <c r="C61" s="57"/>
      <c r="D61" s="57"/>
      <c r="E61" s="106"/>
      <c r="F61" s="79"/>
      <c r="G61" s="77"/>
      <c r="H61" s="127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2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mergeCells count="15">
    <mergeCell ref="B50:C50"/>
    <mergeCell ref="F53:G53"/>
    <mergeCell ref="B54:D54"/>
    <mergeCell ref="B4:C4"/>
    <mergeCell ref="E4:J4"/>
    <mergeCell ref="E7:J7"/>
    <mergeCell ref="B10:B11"/>
    <mergeCell ref="C10:D10"/>
    <mergeCell ref="E10:G10"/>
    <mergeCell ref="H10:J10"/>
    <mergeCell ref="C13:D13"/>
    <mergeCell ref="E13:G13"/>
    <mergeCell ref="I13:J13"/>
    <mergeCell ref="B25:B41"/>
    <mergeCell ref="B42:D42"/>
  </mergeCells>
  <phoneticPr fontId="13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defaultColWidth="12.6640625" defaultRowHeight="15" customHeight="1"/>
  <cols>
    <col min="1" max="1" width="2.33203125" customWidth="1"/>
    <col min="2" max="2" width="16.77734375" customWidth="1"/>
    <col min="3" max="3" width="17.77734375" customWidth="1"/>
    <col min="4" max="4" width="13.21875" customWidth="1"/>
    <col min="5" max="5" width="22.88671875" customWidth="1"/>
    <col min="6" max="6" width="24.77734375" customWidth="1"/>
    <col min="7" max="7" width="12.33203125" customWidth="1"/>
    <col min="8" max="8" width="11.44140625" customWidth="1"/>
    <col min="9" max="10" width="10.33203125" customWidth="1"/>
    <col min="11" max="15" width="8.33203125" customWidth="1"/>
    <col min="16" max="16" width="21.33203125" customWidth="1"/>
    <col min="17" max="26" width="8.33203125" customWidth="1"/>
  </cols>
  <sheetData>
    <row r="1" spans="1:26" ht="15.75" customHeight="1">
      <c r="A1" s="8"/>
      <c r="B1" s="22" t="s">
        <v>161</v>
      </c>
      <c r="C1" s="8"/>
      <c r="D1" s="8"/>
      <c r="E1" s="8"/>
      <c r="F1" s="8"/>
      <c r="G1" s="8"/>
      <c r="H1" s="8"/>
      <c r="I1" s="8"/>
      <c r="J1" s="8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.75" customHeight="1">
      <c r="A2" s="8"/>
      <c r="C2" s="22"/>
      <c r="D2" s="80"/>
      <c r="E2" s="81" t="s">
        <v>51</v>
      </c>
      <c r="F2" s="82" t="s">
        <v>52</v>
      </c>
      <c r="G2" s="83" t="s">
        <v>53</v>
      </c>
      <c r="H2" s="14"/>
      <c r="I2" s="14"/>
      <c r="J2" s="14"/>
      <c r="K2" s="27"/>
      <c r="L2" s="21"/>
      <c r="M2" s="21"/>
      <c r="N2" s="21"/>
      <c r="O2" s="21"/>
      <c r="P2" s="156" t="s">
        <v>54</v>
      </c>
      <c r="Q2" s="153"/>
      <c r="R2" s="140"/>
      <c r="S2" s="21"/>
      <c r="T2" s="21"/>
      <c r="U2" s="21"/>
      <c r="V2" s="21"/>
      <c r="W2" s="21"/>
      <c r="X2" s="21"/>
      <c r="Y2" s="21"/>
      <c r="Z2" s="21"/>
    </row>
    <row r="3" spans="1:26" ht="15.75" customHeight="1">
      <c r="A3" s="8"/>
      <c r="B3" s="14"/>
      <c r="C3" s="14"/>
      <c r="D3" s="14"/>
      <c r="E3" s="84"/>
      <c r="F3" s="84"/>
      <c r="G3" s="84"/>
      <c r="H3" s="84"/>
      <c r="I3" s="84"/>
      <c r="J3" s="14"/>
      <c r="K3" s="27"/>
      <c r="L3" s="21"/>
      <c r="M3" s="21"/>
      <c r="N3" s="21"/>
      <c r="O3" s="21"/>
      <c r="P3" s="133" t="s">
        <v>162</v>
      </c>
      <c r="Q3" s="29">
        <f>E54</f>
        <v>500000</v>
      </c>
      <c r="R3" s="29"/>
      <c r="S3" s="21"/>
      <c r="T3" s="21"/>
      <c r="U3" s="21"/>
      <c r="V3" s="21"/>
      <c r="W3" s="21"/>
      <c r="X3" s="21"/>
      <c r="Y3" s="21"/>
      <c r="Z3" s="21"/>
    </row>
    <row r="4" spans="1:26" ht="15.75" customHeight="1">
      <c r="A4" s="8"/>
      <c r="B4" s="193" t="s">
        <v>55</v>
      </c>
      <c r="C4" s="158"/>
      <c r="D4" s="85"/>
      <c r="E4" s="194" t="s">
        <v>38</v>
      </c>
      <c r="F4" s="160"/>
      <c r="G4" s="160"/>
      <c r="H4" s="160"/>
      <c r="I4" s="160"/>
      <c r="J4" s="161"/>
      <c r="K4" s="27"/>
      <c r="L4" s="21"/>
      <c r="M4" s="21"/>
      <c r="N4" s="21"/>
      <c r="O4" s="21"/>
      <c r="P4" s="29" t="s">
        <v>163</v>
      </c>
      <c r="Q4" s="29">
        <f>SUM(E6:I6,C21,E42)</f>
        <v>3457103</v>
      </c>
      <c r="R4" s="29"/>
      <c r="S4" s="21"/>
      <c r="T4" s="21"/>
      <c r="U4" s="21"/>
      <c r="V4" s="21"/>
      <c r="W4" s="21"/>
      <c r="X4" s="21"/>
      <c r="Y4" s="21"/>
      <c r="Z4" s="21"/>
    </row>
    <row r="5" spans="1:26" ht="15.75" customHeight="1">
      <c r="A5" s="8"/>
      <c r="B5" s="86" t="s">
        <v>56</v>
      </c>
      <c r="C5" s="86">
        <f>C13</f>
        <v>894019</v>
      </c>
      <c r="D5" s="85"/>
      <c r="E5" s="32" t="s">
        <v>39</v>
      </c>
      <c r="F5" s="33" t="s">
        <v>40</v>
      </c>
      <c r="G5" s="33" t="s">
        <v>41</v>
      </c>
      <c r="H5" s="34" t="s">
        <v>42</v>
      </c>
      <c r="I5" s="34" t="s">
        <v>101</v>
      </c>
      <c r="J5" s="34" t="s">
        <v>102</v>
      </c>
      <c r="K5" s="27"/>
      <c r="L5" s="21"/>
      <c r="M5" s="21"/>
      <c r="N5" s="21"/>
      <c r="O5" s="21"/>
      <c r="P5" s="29"/>
      <c r="Q5" s="29"/>
      <c r="R5" s="29"/>
      <c r="S5" s="21"/>
      <c r="T5" s="21"/>
      <c r="U5" s="21"/>
      <c r="V5" s="21"/>
      <c r="W5" s="21"/>
      <c r="X5" s="21"/>
      <c r="Y5" s="21"/>
      <c r="Z5" s="21"/>
    </row>
    <row r="6" spans="1:26" ht="15.75" customHeight="1">
      <c r="A6" s="8"/>
      <c r="B6" s="87" t="s">
        <v>32</v>
      </c>
      <c r="C6" s="87">
        <f>E13</f>
        <v>7781153</v>
      </c>
      <c r="D6" s="85"/>
      <c r="E6" s="134">
        <v>250000</v>
      </c>
      <c r="F6" s="119">
        <v>100000</v>
      </c>
      <c r="G6" s="135">
        <v>100000</v>
      </c>
      <c r="H6" s="136">
        <v>100000</v>
      </c>
      <c r="I6" s="136">
        <v>200000</v>
      </c>
      <c r="J6" s="136">
        <v>4594019</v>
      </c>
      <c r="K6" s="27"/>
      <c r="L6" s="21"/>
      <c r="M6" s="21"/>
      <c r="N6" s="21"/>
      <c r="O6" s="21"/>
      <c r="P6" s="29"/>
      <c r="Q6" s="29"/>
      <c r="R6" s="29"/>
      <c r="S6" s="21"/>
      <c r="T6" s="21"/>
      <c r="U6" s="21"/>
      <c r="V6" s="21"/>
      <c r="W6" s="21"/>
      <c r="X6" s="21"/>
      <c r="Y6" s="21"/>
      <c r="Z6" s="21"/>
    </row>
    <row r="7" spans="1:26" ht="15.75" customHeight="1">
      <c r="A7" s="8"/>
      <c r="B7" s="91" t="s">
        <v>34</v>
      </c>
      <c r="C7" s="91">
        <f>H13+I13</f>
        <v>3207103</v>
      </c>
      <c r="D7" s="85"/>
      <c r="E7" s="195">
        <f>SUM(E6:J6)</f>
        <v>5344019</v>
      </c>
      <c r="F7" s="163"/>
      <c r="G7" s="163"/>
      <c r="H7" s="163"/>
      <c r="I7" s="163"/>
      <c r="J7" s="164"/>
      <c r="K7" s="27"/>
      <c r="L7" s="21"/>
      <c r="M7" s="21"/>
      <c r="N7" s="21"/>
      <c r="O7" s="21"/>
      <c r="P7" s="29"/>
      <c r="Q7" s="29"/>
      <c r="R7" s="29"/>
      <c r="S7" s="21"/>
      <c r="T7" s="21"/>
      <c r="U7" s="21"/>
      <c r="V7" s="21"/>
      <c r="W7" s="21"/>
      <c r="X7" s="21"/>
      <c r="Y7" s="21"/>
      <c r="Z7" s="21"/>
    </row>
    <row r="8" spans="1:26" ht="15.75" customHeight="1">
      <c r="A8" s="8"/>
      <c r="B8" s="92" t="s">
        <v>57</v>
      </c>
      <c r="C8" s="92">
        <f>C5+C6-C7-E7</f>
        <v>124050</v>
      </c>
      <c r="D8" s="14"/>
      <c r="E8" s="14"/>
      <c r="F8" s="14"/>
      <c r="G8" s="14"/>
      <c r="H8" s="14"/>
      <c r="I8" s="14"/>
      <c r="J8" s="14"/>
      <c r="K8" s="27"/>
      <c r="L8" s="21"/>
      <c r="M8" s="21"/>
      <c r="N8" s="21"/>
      <c r="O8" s="21"/>
      <c r="P8" s="29"/>
      <c r="Q8" s="29"/>
      <c r="R8" s="29"/>
      <c r="S8" s="21"/>
      <c r="T8" s="21"/>
      <c r="U8" s="21"/>
      <c r="V8" s="21"/>
      <c r="W8" s="21"/>
      <c r="X8" s="21"/>
      <c r="Y8" s="21"/>
      <c r="Z8" s="21"/>
    </row>
    <row r="9" spans="1:26" ht="15.75" customHeight="1">
      <c r="A9" s="8"/>
      <c r="B9" s="93"/>
      <c r="C9" s="14"/>
      <c r="D9" s="14"/>
      <c r="E9" s="60" t="s">
        <v>103</v>
      </c>
      <c r="F9" s="93"/>
      <c r="G9" s="93"/>
      <c r="H9" s="93"/>
      <c r="I9" s="93"/>
      <c r="J9" s="93"/>
      <c r="K9" s="27"/>
      <c r="L9" s="21"/>
      <c r="M9" s="21"/>
      <c r="N9" s="21"/>
      <c r="O9" s="21"/>
      <c r="P9" s="43"/>
      <c r="Q9" s="29"/>
      <c r="R9" s="29"/>
      <c r="S9" s="21"/>
      <c r="T9" s="21"/>
      <c r="U9" s="21"/>
      <c r="V9" s="21"/>
      <c r="W9" s="21"/>
      <c r="X9" s="21"/>
      <c r="Y9" s="21"/>
      <c r="Z9" s="21"/>
    </row>
    <row r="10" spans="1:26" ht="15.75" customHeight="1">
      <c r="A10" s="8"/>
      <c r="B10" s="196" t="s">
        <v>30</v>
      </c>
      <c r="C10" s="197" t="s">
        <v>56</v>
      </c>
      <c r="D10" s="198"/>
      <c r="E10" s="199" t="s">
        <v>32</v>
      </c>
      <c r="F10" s="168"/>
      <c r="G10" s="169"/>
      <c r="H10" s="200" t="s">
        <v>34</v>
      </c>
      <c r="I10" s="168"/>
      <c r="J10" s="169"/>
      <c r="K10" s="27"/>
      <c r="L10" s="21"/>
      <c r="M10" s="21"/>
      <c r="N10" s="21"/>
      <c r="O10" s="21"/>
      <c r="P10" s="29"/>
      <c r="Q10" s="29"/>
      <c r="R10" s="29"/>
      <c r="S10" s="21"/>
      <c r="T10" s="21"/>
      <c r="U10" s="21"/>
      <c r="V10" s="21"/>
      <c r="W10" s="21"/>
      <c r="X10" s="21"/>
      <c r="Y10" s="21"/>
      <c r="Z10" s="21"/>
    </row>
    <row r="11" spans="1:26" ht="15.75" customHeight="1">
      <c r="A11" s="8"/>
      <c r="B11" s="166"/>
      <c r="C11" s="45" t="s">
        <v>104</v>
      </c>
      <c r="D11" s="95" t="s">
        <v>59</v>
      </c>
      <c r="E11" s="46" t="s">
        <v>105</v>
      </c>
      <c r="F11" s="46" t="s">
        <v>106</v>
      </c>
      <c r="G11" s="96" t="s">
        <v>62</v>
      </c>
      <c r="H11" s="97" t="s">
        <v>35</v>
      </c>
      <c r="I11" s="98" t="s">
        <v>63</v>
      </c>
      <c r="J11" s="99" t="s">
        <v>64</v>
      </c>
      <c r="K11" s="27"/>
      <c r="L11" s="50"/>
      <c r="M11" s="50"/>
      <c r="N11" s="50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5.75" customHeight="1">
      <c r="A12" s="8"/>
      <c r="B12" s="100" t="s">
        <v>65</v>
      </c>
      <c r="C12" s="101">
        <v>894019</v>
      </c>
      <c r="D12" s="101">
        <v>0</v>
      </c>
      <c r="E12" s="102">
        <v>4081153</v>
      </c>
      <c r="F12" s="102">
        <v>3700000</v>
      </c>
      <c r="G12" s="102"/>
      <c r="H12" s="103">
        <f>E42</f>
        <v>2007103</v>
      </c>
      <c r="I12" s="104">
        <f>SUMIF(F55:F1063,"계좌",E55:E1063)</f>
        <v>500000</v>
      </c>
      <c r="J12" s="105">
        <f>E21</f>
        <v>700000</v>
      </c>
      <c r="K12" s="27"/>
      <c r="L12" s="50"/>
      <c r="M12" s="50"/>
      <c r="N12" s="50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5.75" customHeight="1">
      <c r="A13" s="8"/>
      <c r="B13" s="106" t="s">
        <v>66</v>
      </c>
      <c r="C13" s="183">
        <f>SUM(C12:D12)</f>
        <v>894019</v>
      </c>
      <c r="D13" s="184"/>
      <c r="E13" s="185">
        <f>SUM(E12:G12)</f>
        <v>7781153</v>
      </c>
      <c r="F13" s="186"/>
      <c r="G13" s="184"/>
      <c r="H13" s="91">
        <f>SUM(H12)</f>
        <v>2007103</v>
      </c>
      <c r="I13" s="187">
        <f>SUM(I12:J12)</f>
        <v>1200000</v>
      </c>
      <c r="J13" s="175"/>
      <c r="K13" s="27"/>
      <c r="L13" s="27"/>
      <c r="M13" s="27"/>
      <c r="N13" s="27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5.75" customHeight="1">
      <c r="A14" s="8"/>
      <c r="B14" s="14"/>
      <c r="C14" s="14"/>
      <c r="D14" s="14"/>
      <c r="E14" s="14"/>
      <c r="F14" s="14"/>
      <c r="G14" s="14"/>
      <c r="H14" s="14"/>
      <c r="I14" s="14"/>
      <c r="J14" s="14"/>
      <c r="K14" s="27"/>
      <c r="L14" s="27"/>
      <c r="M14" s="27"/>
      <c r="N14" s="27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.75" customHeight="1">
      <c r="A15" s="8"/>
      <c r="B15" s="107" t="s">
        <v>164</v>
      </c>
      <c r="C15" s="108"/>
      <c r="D15" s="108"/>
      <c r="E15" s="108"/>
      <c r="F15" s="109"/>
      <c r="G15" s="109"/>
      <c r="H15" s="109"/>
      <c r="I15" s="109"/>
      <c r="J15" s="109"/>
      <c r="K15" s="8"/>
      <c r="L15" s="8"/>
      <c r="M15" s="8"/>
      <c r="N15" s="8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.75" customHeight="1">
      <c r="A16" s="8"/>
      <c r="B16" s="110" t="s">
        <v>68</v>
      </c>
      <c r="C16" s="94" t="s">
        <v>69</v>
      </c>
      <c r="D16" s="111" t="s">
        <v>70</v>
      </c>
      <c r="E16" s="99" t="s">
        <v>66</v>
      </c>
      <c r="F16" s="137" t="s">
        <v>165</v>
      </c>
      <c r="G16" s="14"/>
      <c r="H16" s="14"/>
      <c r="I16" s="14"/>
      <c r="J16" s="14"/>
      <c r="K16" s="8"/>
      <c r="L16" s="8"/>
      <c r="M16" s="8"/>
      <c r="N16" s="8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customHeight="1">
      <c r="A17" s="8"/>
      <c r="B17" s="112" t="s">
        <v>166</v>
      </c>
      <c r="C17" s="113">
        <v>60000</v>
      </c>
      <c r="D17" s="114">
        <f t="shared" ref="D17:D20" si="0">SUMIF(E$46:E$48,B17,D$46:D$49)</f>
        <v>0</v>
      </c>
      <c r="E17" s="99">
        <f t="shared" ref="E17:E20" si="1">SUM(C17:D17)</f>
        <v>60000</v>
      </c>
      <c r="F17" s="138" t="s">
        <v>167</v>
      </c>
      <c r="G17" s="14"/>
      <c r="H17" s="8"/>
      <c r="I17" s="8"/>
      <c r="J17" s="8"/>
      <c r="K17" s="8"/>
      <c r="L17" s="8"/>
      <c r="M17" s="8"/>
      <c r="N17" s="8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.75" customHeight="1">
      <c r="A18" s="8"/>
      <c r="B18" s="66" t="s">
        <v>110</v>
      </c>
      <c r="C18" s="113">
        <v>240000</v>
      </c>
      <c r="D18" s="114">
        <f t="shared" si="0"/>
        <v>0</v>
      </c>
      <c r="E18" s="99">
        <f t="shared" si="1"/>
        <v>240000</v>
      </c>
      <c r="F18" s="137" t="s">
        <v>168</v>
      </c>
      <c r="G18" s="14"/>
      <c r="H18" s="8"/>
      <c r="I18" s="8"/>
      <c r="J18" s="8"/>
      <c r="K18" s="8"/>
      <c r="L18" s="8"/>
      <c r="M18" s="8"/>
      <c r="N18" s="8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customHeight="1">
      <c r="A19" s="8"/>
      <c r="B19" s="66" t="s">
        <v>111</v>
      </c>
      <c r="C19" s="113">
        <v>400000</v>
      </c>
      <c r="D19" s="114">
        <f t="shared" si="0"/>
        <v>0</v>
      </c>
      <c r="E19" s="99">
        <f t="shared" si="1"/>
        <v>400000</v>
      </c>
      <c r="F19" s="138" t="s">
        <v>169</v>
      </c>
      <c r="G19" s="14"/>
      <c r="H19" s="8"/>
      <c r="I19" s="8"/>
      <c r="J19" s="8"/>
      <c r="K19" s="8"/>
      <c r="L19" s="8"/>
      <c r="M19" s="8"/>
      <c r="N19" s="8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customHeight="1">
      <c r="A20" s="8"/>
      <c r="B20" s="66" t="s">
        <v>113</v>
      </c>
      <c r="C20" s="115"/>
      <c r="D20" s="116">
        <f t="shared" si="0"/>
        <v>0</v>
      </c>
      <c r="E20" s="99">
        <f t="shared" si="1"/>
        <v>0</v>
      </c>
      <c r="F20" s="14"/>
      <c r="G20" s="14"/>
      <c r="H20" s="8"/>
      <c r="I20" s="8"/>
      <c r="J20" s="8"/>
      <c r="K20" s="8"/>
      <c r="L20" s="8"/>
      <c r="M20" s="8"/>
      <c r="N20" s="8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.75" customHeight="1">
      <c r="A21" s="8"/>
      <c r="B21" s="117" t="s">
        <v>66</v>
      </c>
      <c r="C21" s="106">
        <f t="shared" ref="C21:E21" si="2">SUM(C17:C20)</f>
        <v>700000</v>
      </c>
      <c r="D21" s="118">
        <f t="shared" si="2"/>
        <v>0</v>
      </c>
      <c r="E21" s="99">
        <f t="shared" si="2"/>
        <v>700000</v>
      </c>
      <c r="F21" s="14"/>
      <c r="G21" s="14"/>
      <c r="H21" s="8"/>
      <c r="I21" s="8"/>
      <c r="J21" s="8"/>
      <c r="K21" s="8"/>
      <c r="L21" s="8"/>
      <c r="M21" s="8"/>
      <c r="N21" s="8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customHeight="1">
      <c r="A22" s="8"/>
      <c r="B22" s="14"/>
      <c r="C22" s="14"/>
      <c r="D22" s="14"/>
      <c r="E22" s="14"/>
      <c r="F22" s="14"/>
      <c r="G22" s="14"/>
      <c r="H22" s="8"/>
      <c r="I22" s="8"/>
      <c r="J22" s="8"/>
      <c r="K22" s="8"/>
      <c r="L22" s="8"/>
      <c r="M22" s="8"/>
      <c r="N22" s="8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75" customHeight="1">
      <c r="A23" s="8"/>
      <c r="B23" s="107" t="s">
        <v>75</v>
      </c>
      <c r="C23" s="109"/>
      <c r="D23" s="109"/>
      <c r="E23" s="109"/>
      <c r="F23" s="50" t="s">
        <v>114</v>
      </c>
      <c r="G23" s="109"/>
      <c r="H23" s="8"/>
      <c r="I23" s="8"/>
      <c r="J23" s="8"/>
      <c r="K23" s="8"/>
      <c r="L23" s="8"/>
      <c r="M23" s="8"/>
      <c r="N23" s="8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.75" customHeight="1">
      <c r="A24" s="8"/>
      <c r="B24" s="88" t="s">
        <v>30</v>
      </c>
      <c r="C24" s="88" t="s">
        <v>76</v>
      </c>
      <c r="D24" s="88" t="s">
        <v>77</v>
      </c>
      <c r="E24" s="37" t="s">
        <v>115</v>
      </c>
      <c r="F24" s="37" t="s">
        <v>116</v>
      </c>
      <c r="G24" s="14"/>
      <c r="H24" s="8"/>
      <c r="I24" s="8"/>
      <c r="J24" s="8"/>
      <c r="K24" s="8"/>
      <c r="L24" s="8"/>
      <c r="M24" s="8"/>
      <c r="N24" s="8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customHeight="1">
      <c r="A25" s="8"/>
      <c r="B25" s="188" t="s">
        <v>35</v>
      </c>
      <c r="C25" s="88" t="s">
        <v>117</v>
      </c>
      <c r="D25" s="88" t="s">
        <v>170</v>
      </c>
      <c r="E25" s="88">
        <v>140380</v>
      </c>
      <c r="F25" s="88">
        <v>140380</v>
      </c>
      <c r="G25" s="14"/>
      <c r="H25" s="8"/>
      <c r="I25" s="8"/>
      <c r="J25" s="8"/>
      <c r="K25" s="8"/>
      <c r="L25" s="8"/>
      <c r="M25" s="8"/>
      <c r="N25" s="8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.75" customHeight="1">
      <c r="A26" s="8"/>
      <c r="B26" s="178"/>
      <c r="C26" s="88" t="s">
        <v>117</v>
      </c>
      <c r="D26" s="88" t="s">
        <v>171</v>
      </c>
      <c r="E26" s="88">
        <v>112100</v>
      </c>
      <c r="F26" s="88">
        <v>112100</v>
      </c>
      <c r="G26" s="14"/>
      <c r="H26" s="8"/>
      <c r="I26" s="8"/>
      <c r="J26" s="8"/>
      <c r="K26" s="8"/>
      <c r="L26" s="8"/>
      <c r="M26" s="8"/>
      <c r="N26" s="8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.75" customHeight="1">
      <c r="A27" s="8"/>
      <c r="B27" s="178"/>
      <c r="C27" s="88" t="s">
        <v>120</v>
      </c>
      <c r="D27" s="37" t="s">
        <v>121</v>
      </c>
      <c r="E27" s="88">
        <v>32970</v>
      </c>
      <c r="F27" s="88">
        <v>32970</v>
      </c>
      <c r="J27" s="8"/>
      <c r="K27" s="8"/>
      <c r="L27" s="8"/>
      <c r="M27" s="8"/>
      <c r="N27" s="8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.75" customHeight="1">
      <c r="A28" s="8"/>
      <c r="B28" s="178"/>
      <c r="C28" s="88" t="s">
        <v>120</v>
      </c>
      <c r="D28" s="37" t="s">
        <v>122</v>
      </c>
      <c r="E28" s="88">
        <v>60800</v>
      </c>
      <c r="F28" s="88">
        <v>60800</v>
      </c>
      <c r="G28" s="21"/>
      <c r="J28" s="8"/>
      <c r="K28" s="8"/>
      <c r="L28" s="8"/>
      <c r="M28" s="8"/>
      <c r="N28" s="8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customHeight="1">
      <c r="A29" s="8"/>
      <c r="B29" s="178"/>
      <c r="C29" s="88" t="s">
        <v>120</v>
      </c>
      <c r="D29" s="88" t="s">
        <v>172</v>
      </c>
      <c r="E29" s="88">
        <v>23100</v>
      </c>
      <c r="F29" s="88">
        <v>23100</v>
      </c>
      <c r="J29" s="8"/>
      <c r="K29" s="8"/>
      <c r="L29" s="8"/>
      <c r="M29" s="8"/>
      <c r="N29" s="8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customHeight="1">
      <c r="A30" s="8"/>
      <c r="B30" s="178"/>
      <c r="C30" s="88" t="s">
        <v>125</v>
      </c>
      <c r="D30" s="88" t="s">
        <v>173</v>
      </c>
      <c r="E30" s="88">
        <v>100089</v>
      </c>
      <c r="F30" s="88">
        <v>100089</v>
      </c>
      <c r="J30" s="8"/>
      <c r="K30" s="8"/>
      <c r="L30" s="8"/>
      <c r="M30" s="8"/>
      <c r="N30" s="8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5.75" customHeight="1">
      <c r="A31" s="8"/>
      <c r="B31" s="178"/>
      <c r="C31" s="88" t="s">
        <v>125</v>
      </c>
      <c r="D31" s="37" t="s">
        <v>127</v>
      </c>
      <c r="E31" s="88">
        <v>53105</v>
      </c>
      <c r="F31" s="88">
        <v>53105</v>
      </c>
      <c r="J31" s="8"/>
      <c r="K31" s="8"/>
      <c r="L31" s="8"/>
      <c r="M31" s="8"/>
      <c r="N31" s="8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.75" customHeight="1">
      <c r="A32" s="8"/>
      <c r="B32" s="178"/>
      <c r="C32" s="88" t="s">
        <v>125</v>
      </c>
      <c r="D32" s="88" t="s">
        <v>174</v>
      </c>
      <c r="E32" s="88">
        <v>21070</v>
      </c>
      <c r="F32" s="88">
        <v>21070</v>
      </c>
      <c r="J32" s="8"/>
      <c r="K32" s="8"/>
      <c r="L32" s="8"/>
      <c r="M32" s="8"/>
      <c r="N32" s="8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.75" customHeight="1">
      <c r="A33" s="8"/>
      <c r="B33" s="178"/>
      <c r="C33" s="88" t="s">
        <v>125</v>
      </c>
      <c r="D33" s="37" t="s">
        <v>129</v>
      </c>
      <c r="E33" s="88">
        <v>52840</v>
      </c>
      <c r="F33" s="88">
        <v>52840</v>
      </c>
      <c r="J33" s="8"/>
      <c r="K33" s="8"/>
      <c r="L33" s="8"/>
      <c r="M33" s="8"/>
      <c r="N33" s="8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.75" customHeight="1">
      <c r="A34" s="8"/>
      <c r="B34" s="178"/>
      <c r="C34" s="88" t="s">
        <v>125</v>
      </c>
      <c r="D34" s="37" t="s">
        <v>130</v>
      </c>
      <c r="E34" s="88">
        <v>18014</v>
      </c>
      <c r="F34" s="88">
        <v>18014</v>
      </c>
      <c r="J34" s="8"/>
      <c r="K34" s="8"/>
      <c r="L34" s="8"/>
      <c r="M34" s="8"/>
      <c r="N34" s="8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5.75" customHeight="1">
      <c r="A35" s="8"/>
      <c r="B35" s="178"/>
      <c r="C35" s="88" t="s">
        <v>131</v>
      </c>
      <c r="D35" s="88" t="s">
        <v>175</v>
      </c>
      <c r="E35" s="88">
        <v>8375</v>
      </c>
      <c r="F35" s="88">
        <v>8375</v>
      </c>
      <c r="J35" s="8"/>
      <c r="K35" s="8"/>
      <c r="L35" s="8"/>
      <c r="M35" s="8"/>
      <c r="N35" s="8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.75" customHeight="1">
      <c r="A36" s="8"/>
      <c r="B36" s="178"/>
      <c r="C36" s="88" t="s">
        <v>176</v>
      </c>
      <c r="D36" s="88" t="s">
        <v>177</v>
      </c>
      <c r="E36" s="88">
        <v>70000</v>
      </c>
      <c r="F36" s="88">
        <v>70000</v>
      </c>
      <c r="J36" s="8"/>
      <c r="K36" s="8"/>
      <c r="L36" s="8"/>
      <c r="M36" s="8"/>
      <c r="N36" s="8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.75" customHeight="1">
      <c r="A37" s="8"/>
      <c r="B37" s="178"/>
      <c r="C37" s="88" t="s">
        <v>178</v>
      </c>
      <c r="D37" s="37" t="s">
        <v>136</v>
      </c>
      <c r="E37" s="88">
        <v>300000</v>
      </c>
      <c r="F37" s="88">
        <v>300000</v>
      </c>
      <c r="J37" s="8"/>
      <c r="K37" s="8"/>
      <c r="L37" s="8"/>
      <c r="M37" s="8"/>
      <c r="N37" s="8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.75" customHeight="1">
      <c r="A38" s="8"/>
      <c r="B38" s="178"/>
      <c r="C38" s="88" t="s">
        <v>117</v>
      </c>
      <c r="D38" s="88" t="s">
        <v>179</v>
      </c>
      <c r="E38" s="88">
        <v>324260</v>
      </c>
      <c r="F38" s="88">
        <v>324260</v>
      </c>
      <c r="G38" s="14"/>
      <c r="H38" s="14"/>
      <c r="I38" s="8"/>
      <c r="J38" s="8"/>
      <c r="K38" s="8"/>
      <c r="L38" s="8"/>
      <c r="M38" s="8"/>
      <c r="N38" s="8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.75" customHeight="1">
      <c r="A39" s="8"/>
      <c r="B39" s="178"/>
      <c r="C39" s="88" t="s">
        <v>180</v>
      </c>
      <c r="D39" s="37" t="s">
        <v>139</v>
      </c>
      <c r="E39" s="88">
        <v>0</v>
      </c>
      <c r="F39" s="88">
        <v>0</v>
      </c>
      <c r="G39" s="109" t="s">
        <v>181</v>
      </c>
      <c r="H39" s="14"/>
      <c r="I39" s="8"/>
      <c r="J39" s="8"/>
      <c r="K39" s="8"/>
      <c r="L39" s="8"/>
      <c r="M39" s="8"/>
      <c r="N39" s="8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.75" customHeight="1">
      <c r="A40" s="8"/>
      <c r="B40" s="178"/>
      <c r="C40" s="88" t="s">
        <v>141</v>
      </c>
      <c r="D40" s="37" t="s">
        <v>142</v>
      </c>
      <c r="E40" s="88">
        <v>90000</v>
      </c>
      <c r="F40" s="88">
        <v>90000</v>
      </c>
      <c r="G40" s="109"/>
      <c r="H40" s="14"/>
      <c r="I40" s="8"/>
      <c r="J40" s="8"/>
      <c r="K40" s="8"/>
      <c r="L40" s="8"/>
      <c r="M40" s="8"/>
      <c r="N40" s="8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.75" customHeight="1">
      <c r="A41" s="8"/>
      <c r="B41" s="178"/>
      <c r="C41" s="37" t="s">
        <v>61</v>
      </c>
      <c r="D41" s="37" t="s">
        <v>144</v>
      </c>
      <c r="E41" s="88">
        <v>600000</v>
      </c>
      <c r="F41" s="88">
        <v>600000</v>
      </c>
      <c r="G41" s="50" t="s">
        <v>145</v>
      </c>
      <c r="H41" s="27"/>
      <c r="I41" s="8"/>
      <c r="J41" s="8"/>
      <c r="K41" s="8"/>
      <c r="L41" s="8"/>
      <c r="M41" s="8"/>
      <c r="N41" s="8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.75" customHeight="1">
      <c r="A42" s="8"/>
      <c r="B42" s="189" t="s">
        <v>66</v>
      </c>
      <c r="C42" s="168"/>
      <c r="D42" s="169"/>
      <c r="E42" s="122">
        <f t="shared" ref="E42:F42" si="3">SUM(E25:E41)</f>
        <v>2007103</v>
      </c>
      <c r="F42" s="122">
        <f t="shared" si="3"/>
        <v>2007103</v>
      </c>
      <c r="G42" s="14"/>
      <c r="H42" s="14"/>
      <c r="I42" s="8"/>
      <c r="J42" s="8"/>
      <c r="K42" s="8"/>
      <c r="L42" s="8"/>
      <c r="M42" s="8"/>
      <c r="N42" s="8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customHeight="1">
      <c r="A43" s="8"/>
      <c r="B43" s="14"/>
      <c r="C43" s="14"/>
      <c r="D43" s="14"/>
      <c r="E43" s="14"/>
      <c r="F43" s="14"/>
      <c r="G43" s="14"/>
      <c r="H43" s="14"/>
      <c r="I43" s="8"/>
      <c r="J43" s="8"/>
      <c r="K43" s="8"/>
      <c r="L43" s="8"/>
      <c r="M43" s="8"/>
      <c r="N43" s="8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.75" customHeight="1">
      <c r="A44" s="8"/>
      <c r="B44" s="107" t="s">
        <v>78</v>
      </c>
      <c r="C44" s="109"/>
      <c r="D44" s="109"/>
      <c r="E44" s="109"/>
      <c r="F44" s="109"/>
      <c r="G44" s="109"/>
      <c r="H44" s="108"/>
      <c r="I44" s="8"/>
      <c r="J44" s="8"/>
      <c r="K44" s="8"/>
      <c r="L44" s="8"/>
      <c r="M44" s="8"/>
      <c r="N44" s="8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.75" customHeight="1">
      <c r="A45" s="8"/>
      <c r="B45" s="88" t="s">
        <v>79</v>
      </c>
      <c r="C45" s="88" t="s">
        <v>77</v>
      </c>
      <c r="D45" s="88" t="s">
        <v>65</v>
      </c>
      <c r="E45" s="88" t="s">
        <v>80</v>
      </c>
      <c r="F45" s="88" t="s">
        <v>57</v>
      </c>
      <c r="G45" s="110" t="s">
        <v>81</v>
      </c>
      <c r="H45" s="88" t="s">
        <v>82</v>
      </c>
      <c r="I45" s="8"/>
      <c r="J45" s="8"/>
      <c r="K45" s="8"/>
      <c r="L45" s="8"/>
      <c r="M45" s="8"/>
      <c r="N45" s="8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customHeight="1">
      <c r="A46" s="8"/>
      <c r="B46" s="88"/>
      <c r="C46" s="88"/>
      <c r="D46" s="88"/>
      <c r="E46" s="123"/>
      <c r="F46" s="88"/>
      <c r="G46" s="106">
        <f t="shared" ref="G46:G47" si="4">H46-B46</f>
        <v>0</v>
      </c>
      <c r="H46" s="88"/>
      <c r="I46" s="8"/>
      <c r="J46" s="8"/>
      <c r="K46" s="8"/>
      <c r="L46" s="8"/>
      <c r="M46" s="8"/>
      <c r="N46" s="8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customHeight="1">
      <c r="A47" s="8"/>
      <c r="B47" s="88"/>
      <c r="C47" s="88"/>
      <c r="D47" s="88"/>
      <c r="E47" s="123"/>
      <c r="F47" s="88"/>
      <c r="G47" s="106">
        <f t="shared" si="4"/>
        <v>0</v>
      </c>
      <c r="H47" s="88"/>
      <c r="I47" s="8"/>
      <c r="J47" s="8"/>
      <c r="K47" s="8"/>
      <c r="L47" s="8"/>
      <c r="M47" s="8"/>
      <c r="N47" s="8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customHeight="1">
      <c r="A50" s="8"/>
      <c r="B50" s="190" t="s">
        <v>83</v>
      </c>
      <c r="C50" s="140"/>
      <c r="D50" s="124">
        <f>SUM(D46:D49)</f>
        <v>0</v>
      </c>
      <c r="E50" s="17" t="s">
        <v>182</v>
      </c>
      <c r="F50" s="17">
        <f>SUM(F46:F49)</f>
        <v>0</v>
      </c>
      <c r="G50" s="14"/>
      <c r="H50" s="8"/>
      <c r="I50" s="8"/>
      <c r="J50" s="8"/>
      <c r="K50" s="8"/>
      <c r="L50" s="8"/>
      <c r="M50" s="8"/>
      <c r="N50" s="8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customHeight="1">
      <c r="A51" s="8"/>
      <c r="B51" s="14"/>
      <c r="C51" s="14"/>
      <c r="D51" s="14"/>
      <c r="E51" s="14"/>
      <c r="F51" s="14"/>
      <c r="G51" s="14"/>
      <c r="H51" s="8"/>
      <c r="I51" s="8"/>
      <c r="J51" s="8"/>
      <c r="K51" s="8"/>
      <c r="L51" s="8"/>
      <c r="M51" s="8"/>
      <c r="N51" s="8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.75" customHeight="1">
      <c r="A52" s="8"/>
      <c r="B52" s="107" t="s">
        <v>85</v>
      </c>
      <c r="C52" s="109"/>
      <c r="D52" s="109"/>
      <c r="E52" s="109"/>
      <c r="F52" s="109"/>
      <c r="G52" s="109"/>
      <c r="H52" s="8"/>
      <c r="I52" s="8"/>
      <c r="J52" s="8"/>
      <c r="K52" s="8"/>
      <c r="L52" s="8"/>
      <c r="M52" s="8"/>
      <c r="N52" s="8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.75" customHeight="1">
      <c r="A53" s="8"/>
      <c r="B53" s="125" t="s">
        <v>86</v>
      </c>
      <c r="C53" s="126" t="s">
        <v>77</v>
      </c>
      <c r="D53" s="126" t="s">
        <v>87</v>
      </c>
      <c r="E53" s="126" t="s">
        <v>183</v>
      </c>
      <c r="F53" s="191" t="s">
        <v>80</v>
      </c>
      <c r="G53" s="172"/>
      <c r="H53" s="127"/>
      <c r="I53" s="8"/>
      <c r="J53" s="8"/>
      <c r="K53" s="8"/>
      <c r="L53" s="8"/>
      <c r="M53" s="8"/>
      <c r="N53" s="8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.75" customHeight="1">
      <c r="A54" s="8"/>
      <c r="B54" s="192" t="s">
        <v>88</v>
      </c>
      <c r="C54" s="180"/>
      <c r="D54" s="175"/>
      <c r="E54" s="130">
        <f>SUM(E55:E86)</f>
        <v>500000</v>
      </c>
      <c r="F54" s="106" t="s">
        <v>89</v>
      </c>
      <c r="G54" s="128" t="s">
        <v>90</v>
      </c>
      <c r="H54" s="127"/>
      <c r="I54" s="8"/>
      <c r="J54" s="8"/>
      <c r="K54" s="8"/>
      <c r="L54" s="8"/>
      <c r="M54" s="8"/>
      <c r="N54" s="8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.75" customHeight="1">
      <c r="A55" s="8"/>
      <c r="B55" s="129">
        <v>46106</v>
      </c>
      <c r="C55" s="57" t="s">
        <v>159</v>
      </c>
      <c r="D55" s="57" t="s">
        <v>154</v>
      </c>
      <c r="E55" s="106">
        <v>500000</v>
      </c>
      <c r="F55" s="79" t="s">
        <v>93</v>
      </c>
      <c r="G55" s="77" t="s">
        <v>155</v>
      </c>
      <c r="H55" s="127"/>
      <c r="J55" s="8"/>
      <c r="K55" s="8"/>
      <c r="L55" s="8"/>
      <c r="M55" s="8"/>
      <c r="N55" s="8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.75" customHeight="1">
      <c r="A56" s="8"/>
      <c r="B56" s="129"/>
      <c r="C56" s="57"/>
      <c r="D56" s="57"/>
      <c r="E56" s="106"/>
      <c r="F56" s="79"/>
      <c r="G56" s="77"/>
      <c r="H56" s="127"/>
      <c r="I56" s="8"/>
      <c r="J56" s="8"/>
      <c r="K56" s="8"/>
      <c r="L56" s="8"/>
      <c r="M56" s="8"/>
      <c r="N56" s="8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.75" customHeight="1">
      <c r="A57" s="8"/>
      <c r="B57" s="129"/>
      <c r="C57" s="57"/>
      <c r="D57" s="57"/>
      <c r="E57" s="106"/>
      <c r="F57" s="79"/>
      <c r="G57" s="77"/>
      <c r="H57" s="131"/>
      <c r="I57" s="8"/>
      <c r="J57" s="8"/>
      <c r="K57" s="8"/>
      <c r="L57" s="8"/>
      <c r="M57" s="8"/>
      <c r="N57" s="8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.75" customHeight="1">
      <c r="A58" s="8"/>
      <c r="B58" s="129"/>
      <c r="C58" s="57"/>
      <c r="D58" s="57"/>
      <c r="E58" s="106"/>
      <c r="F58" s="79"/>
      <c r="G58" s="77"/>
      <c r="H58" s="127"/>
      <c r="I58" s="8"/>
      <c r="J58" s="8"/>
      <c r="K58" s="8"/>
      <c r="L58" s="8"/>
      <c r="M58" s="8"/>
      <c r="N58" s="8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.75" customHeight="1">
      <c r="A59" s="8"/>
      <c r="B59" s="129"/>
      <c r="C59" s="57"/>
      <c r="D59" s="57"/>
      <c r="E59" s="106"/>
      <c r="F59" s="79"/>
      <c r="G59" s="77"/>
      <c r="H59" s="50"/>
      <c r="I59" s="8"/>
      <c r="J59" s="8"/>
      <c r="K59" s="8"/>
      <c r="L59" s="8"/>
      <c r="M59" s="8"/>
      <c r="N59" s="8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.75" customHeight="1">
      <c r="A60" s="8"/>
      <c r="B60" s="129"/>
      <c r="C60" s="57"/>
      <c r="D60" s="57"/>
      <c r="E60" s="106"/>
      <c r="F60" s="79"/>
      <c r="G60" s="77"/>
      <c r="H60" s="127"/>
      <c r="I60" s="8"/>
      <c r="J60" s="8"/>
      <c r="K60" s="8"/>
      <c r="L60" s="8"/>
      <c r="M60" s="8"/>
      <c r="N60" s="8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.75" customHeight="1">
      <c r="A61" s="8"/>
      <c r="B61" s="129"/>
      <c r="C61" s="57"/>
      <c r="D61" s="57"/>
      <c r="E61" s="106"/>
      <c r="F61" s="79"/>
      <c r="G61" s="77"/>
      <c r="H61" s="127"/>
      <c r="I61" s="8"/>
      <c r="J61" s="8"/>
      <c r="K61" s="8"/>
      <c r="L61" s="8"/>
      <c r="M61" s="8"/>
      <c r="N61" s="8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6">
    <mergeCell ref="I13:J13"/>
    <mergeCell ref="B25:B41"/>
    <mergeCell ref="B42:D42"/>
    <mergeCell ref="B50:C50"/>
    <mergeCell ref="F53:G53"/>
    <mergeCell ref="B54:D54"/>
    <mergeCell ref="C10:D10"/>
    <mergeCell ref="C13:D13"/>
    <mergeCell ref="E13:G13"/>
    <mergeCell ref="P2:R2"/>
    <mergeCell ref="B4:C4"/>
    <mergeCell ref="E4:J4"/>
    <mergeCell ref="E7:J7"/>
    <mergeCell ref="B10:B11"/>
    <mergeCell ref="E10:G10"/>
    <mergeCell ref="H10:J10"/>
  </mergeCells>
  <phoneticPr fontId="13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defaultColWidth="12.6640625" defaultRowHeight="15" customHeight="1"/>
  <cols>
    <col min="1" max="1" width="2.33203125" customWidth="1"/>
    <col min="2" max="2" width="16.77734375" customWidth="1"/>
    <col min="3" max="3" width="17.77734375" customWidth="1"/>
    <col min="4" max="4" width="13.21875" customWidth="1"/>
    <col min="5" max="5" width="22.88671875" customWidth="1"/>
    <col min="6" max="6" width="24.77734375" customWidth="1"/>
    <col min="7" max="7" width="12.33203125" customWidth="1"/>
    <col min="8" max="8" width="11.44140625" customWidth="1"/>
    <col min="9" max="10" width="10.33203125" customWidth="1"/>
    <col min="11" max="15" width="8.33203125" customWidth="1"/>
    <col min="16" max="16" width="21.33203125" customWidth="1"/>
    <col min="17" max="26" width="8.33203125" customWidth="1"/>
  </cols>
  <sheetData>
    <row r="1" spans="1:26" ht="15.75" customHeight="1">
      <c r="A1" s="8"/>
      <c r="B1" s="22" t="s">
        <v>184</v>
      </c>
      <c r="C1" s="8"/>
      <c r="D1" s="8"/>
      <c r="E1" s="8"/>
      <c r="F1" s="8"/>
      <c r="G1" s="8"/>
      <c r="H1" s="8"/>
      <c r="I1" s="8"/>
      <c r="J1" s="8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.75" customHeight="1">
      <c r="A2" s="8"/>
      <c r="C2" s="22"/>
      <c r="D2" s="80"/>
      <c r="E2" s="81" t="s">
        <v>51</v>
      </c>
      <c r="F2" s="82" t="s">
        <v>52</v>
      </c>
      <c r="G2" s="83" t="s">
        <v>53</v>
      </c>
      <c r="H2" s="14"/>
      <c r="I2" s="14"/>
      <c r="J2" s="14"/>
      <c r="K2" s="27"/>
      <c r="L2" s="21"/>
      <c r="M2" s="21"/>
      <c r="N2" s="21"/>
      <c r="O2" s="21"/>
      <c r="P2" s="156" t="s">
        <v>54</v>
      </c>
      <c r="Q2" s="153"/>
      <c r="R2" s="140"/>
      <c r="S2" s="21"/>
      <c r="T2" s="21"/>
      <c r="U2" s="21"/>
      <c r="V2" s="21"/>
      <c r="W2" s="21"/>
      <c r="X2" s="21"/>
      <c r="Y2" s="21"/>
      <c r="Z2" s="21"/>
    </row>
    <row r="3" spans="1:26" ht="15.75" customHeight="1">
      <c r="A3" s="8"/>
      <c r="B3" s="14"/>
      <c r="C3" s="14"/>
      <c r="D3" s="14"/>
      <c r="E3" s="84"/>
      <c r="F3" s="84"/>
      <c r="G3" s="84"/>
      <c r="H3" s="84"/>
      <c r="I3" s="84"/>
      <c r="J3" s="14"/>
      <c r="K3" s="27"/>
      <c r="L3" s="21"/>
      <c r="M3" s="21"/>
      <c r="N3" s="21"/>
      <c r="O3" s="21"/>
      <c r="P3" s="133" t="s">
        <v>162</v>
      </c>
      <c r="Q3" s="29">
        <f>E54</f>
        <v>750000</v>
      </c>
      <c r="R3" s="29"/>
      <c r="S3" s="21"/>
      <c r="T3" s="21"/>
      <c r="U3" s="21"/>
      <c r="V3" s="21"/>
      <c r="W3" s="21"/>
      <c r="X3" s="21"/>
      <c r="Y3" s="21"/>
      <c r="Z3" s="21"/>
    </row>
    <row r="4" spans="1:26" ht="15.75" customHeight="1">
      <c r="A4" s="8"/>
      <c r="B4" s="193" t="s">
        <v>55</v>
      </c>
      <c r="C4" s="158"/>
      <c r="D4" s="85"/>
      <c r="E4" s="194" t="s">
        <v>38</v>
      </c>
      <c r="F4" s="160"/>
      <c r="G4" s="160"/>
      <c r="H4" s="160"/>
      <c r="I4" s="160"/>
      <c r="J4" s="161"/>
      <c r="K4" s="27"/>
      <c r="L4" s="21"/>
      <c r="M4" s="21"/>
      <c r="N4" s="21"/>
      <c r="O4" s="21"/>
      <c r="P4" s="29" t="s">
        <v>163</v>
      </c>
      <c r="Q4" s="29">
        <f>SUM(E6:I6,C21,E42)</f>
        <v>1318393</v>
      </c>
      <c r="R4" s="29"/>
      <c r="S4" s="21"/>
      <c r="T4" s="21"/>
      <c r="U4" s="21"/>
      <c r="V4" s="21"/>
      <c r="W4" s="21"/>
      <c r="X4" s="21"/>
      <c r="Y4" s="21"/>
      <c r="Z4" s="21"/>
    </row>
    <row r="5" spans="1:26" ht="15.75" customHeight="1">
      <c r="A5" s="8"/>
      <c r="B5" s="86" t="s">
        <v>56</v>
      </c>
      <c r="C5" s="86"/>
      <c r="D5" s="85"/>
      <c r="E5" s="32" t="s">
        <v>39</v>
      </c>
      <c r="F5" s="33" t="s">
        <v>40</v>
      </c>
      <c r="G5" s="33" t="s">
        <v>41</v>
      </c>
      <c r="H5" s="34" t="s">
        <v>42</v>
      </c>
      <c r="I5" s="34" t="s">
        <v>185</v>
      </c>
      <c r="J5" s="34" t="s">
        <v>102</v>
      </c>
      <c r="K5" s="27"/>
      <c r="L5" s="21"/>
      <c r="M5" s="21"/>
      <c r="N5" s="21"/>
      <c r="O5" s="21"/>
      <c r="P5" s="29"/>
      <c r="Q5" s="29"/>
      <c r="R5" s="29"/>
      <c r="S5" s="21"/>
      <c r="T5" s="21"/>
      <c r="U5" s="21"/>
      <c r="V5" s="21"/>
      <c r="W5" s="21"/>
      <c r="X5" s="21"/>
      <c r="Y5" s="21"/>
      <c r="Z5" s="21"/>
    </row>
    <row r="6" spans="1:26" ht="15.75" customHeight="1">
      <c r="A6" s="8"/>
      <c r="B6" s="87" t="s">
        <v>32</v>
      </c>
      <c r="C6" s="87">
        <v>1474591</v>
      </c>
      <c r="D6" s="85"/>
      <c r="E6" s="134"/>
      <c r="F6" s="119"/>
      <c r="G6" s="135"/>
      <c r="H6" s="136"/>
      <c r="I6" s="136"/>
      <c r="J6" s="136"/>
      <c r="K6" s="27"/>
      <c r="L6" s="21"/>
      <c r="M6" s="21"/>
      <c r="N6" s="21"/>
      <c r="O6" s="21"/>
      <c r="P6" s="29"/>
      <c r="Q6" s="29"/>
      <c r="R6" s="29"/>
      <c r="S6" s="21"/>
      <c r="T6" s="21"/>
      <c r="U6" s="21"/>
      <c r="V6" s="21"/>
      <c r="W6" s="21"/>
      <c r="X6" s="21"/>
      <c r="Y6" s="21"/>
      <c r="Z6" s="21"/>
    </row>
    <row r="7" spans="1:26" ht="15.75" customHeight="1">
      <c r="A7" s="8"/>
      <c r="B7" s="91" t="s">
        <v>34</v>
      </c>
      <c r="C7" s="91">
        <f>H13+I13</f>
        <v>2068393</v>
      </c>
      <c r="D7" s="85"/>
      <c r="E7" s="195">
        <f>SUM(E6:J6)</f>
        <v>0</v>
      </c>
      <c r="F7" s="163"/>
      <c r="G7" s="163"/>
      <c r="H7" s="163"/>
      <c r="I7" s="163"/>
      <c r="J7" s="164"/>
      <c r="K7" s="27"/>
      <c r="L7" s="21"/>
      <c r="M7" s="21"/>
      <c r="N7" s="21"/>
      <c r="O7" s="21"/>
      <c r="P7" s="29"/>
      <c r="Q7" s="29"/>
      <c r="R7" s="29"/>
      <c r="S7" s="21"/>
      <c r="T7" s="21"/>
      <c r="U7" s="21"/>
      <c r="V7" s="21"/>
      <c r="W7" s="21"/>
      <c r="X7" s="21"/>
      <c r="Y7" s="21"/>
      <c r="Z7" s="21"/>
    </row>
    <row r="8" spans="1:26" ht="15.75" customHeight="1">
      <c r="A8" s="8"/>
      <c r="B8" s="92" t="s">
        <v>57</v>
      </c>
      <c r="C8" s="92">
        <f>C5+C6-C7-E7</f>
        <v>-593802</v>
      </c>
      <c r="D8" s="14"/>
      <c r="E8" s="14"/>
      <c r="F8" s="14"/>
      <c r="G8" s="14"/>
      <c r="H8" s="14"/>
      <c r="I8" s="14"/>
      <c r="J8" s="14"/>
      <c r="K8" s="27"/>
      <c r="L8" s="21"/>
      <c r="M8" s="21"/>
      <c r="N8" s="21"/>
      <c r="O8" s="21"/>
      <c r="P8" s="29"/>
      <c r="Q8" s="29"/>
      <c r="R8" s="29"/>
      <c r="S8" s="21"/>
      <c r="T8" s="21"/>
      <c r="U8" s="21"/>
      <c r="V8" s="21"/>
      <c r="W8" s="21"/>
      <c r="X8" s="21"/>
      <c r="Y8" s="21"/>
      <c r="Z8" s="21"/>
    </row>
    <row r="9" spans="1:26" ht="15.75" customHeight="1">
      <c r="A9" s="8"/>
      <c r="B9" s="93"/>
      <c r="C9" s="14"/>
      <c r="D9" s="14"/>
      <c r="E9" s="60" t="s">
        <v>103</v>
      </c>
      <c r="F9" s="93"/>
      <c r="G9" s="93"/>
      <c r="H9" s="93"/>
      <c r="I9" s="93"/>
      <c r="J9" s="93"/>
      <c r="K9" s="27"/>
      <c r="L9" s="21"/>
      <c r="M9" s="21"/>
      <c r="N9" s="21"/>
      <c r="O9" s="21"/>
      <c r="P9" s="43"/>
      <c r="Q9" s="29"/>
      <c r="R9" s="29"/>
      <c r="S9" s="21"/>
      <c r="T9" s="21"/>
      <c r="U9" s="21"/>
      <c r="V9" s="21"/>
      <c r="W9" s="21"/>
      <c r="X9" s="21"/>
      <c r="Y9" s="21"/>
      <c r="Z9" s="21"/>
    </row>
    <row r="10" spans="1:26" ht="15.75" customHeight="1">
      <c r="A10" s="8"/>
      <c r="B10" s="196" t="s">
        <v>30</v>
      </c>
      <c r="C10" s="197" t="s">
        <v>56</v>
      </c>
      <c r="D10" s="198"/>
      <c r="E10" s="199" t="s">
        <v>32</v>
      </c>
      <c r="F10" s="168"/>
      <c r="G10" s="169"/>
      <c r="H10" s="200" t="s">
        <v>34</v>
      </c>
      <c r="I10" s="168"/>
      <c r="J10" s="169"/>
      <c r="K10" s="27"/>
      <c r="L10" s="21"/>
      <c r="M10" s="21"/>
      <c r="N10" s="21"/>
      <c r="O10" s="21"/>
      <c r="P10" s="29"/>
      <c r="Q10" s="29"/>
      <c r="R10" s="29"/>
      <c r="S10" s="21"/>
      <c r="T10" s="21"/>
      <c r="U10" s="21"/>
      <c r="V10" s="21"/>
      <c r="W10" s="21"/>
      <c r="X10" s="21"/>
      <c r="Y10" s="21"/>
      <c r="Z10" s="21"/>
    </row>
    <row r="11" spans="1:26" ht="15.75" customHeight="1">
      <c r="A11" s="8"/>
      <c r="B11" s="166"/>
      <c r="C11" s="45" t="s">
        <v>104</v>
      </c>
      <c r="D11" s="95" t="s">
        <v>59</v>
      </c>
      <c r="E11" s="46" t="s">
        <v>105</v>
      </c>
      <c r="F11" s="46" t="s">
        <v>106</v>
      </c>
      <c r="G11" s="96" t="s">
        <v>62</v>
      </c>
      <c r="H11" s="97" t="s">
        <v>35</v>
      </c>
      <c r="I11" s="98" t="s">
        <v>63</v>
      </c>
      <c r="J11" s="99" t="s">
        <v>64</v>
      </c>
      <c r="K11" s="27"/>
      <c r="L11" s="50"/>
      <c r="M11" s="50"/>
      <c r="N11" s="50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5.75" customHeight="1">
      <c r="A12" s="8"/>
      <c r="B12" s="100" t="s">
        <v>65</v>
      </c>
      <c r="C12" s="101">
        <v>0</v>
      </c>
      <c r="D12" s="101">
        <v>0</v>
      </c>
      <c r="E12" s="102">
        <v>713166</v>
      </c>
      <c r="F12" s="102"/>
      <c r="G12" s="102"/>
      <c r="H12" s="103">
        <f>E42</f>
        <v>618393</v>
      </c>
      <c r="I12" s="104">
        <f>SUMIF(F55:F1063,"계좌",E55:E1063)</f>
        <v>750000</v>
      </c>
      <c r="J12" s="105">
        <f>E21</f>
        <v>700000</v>
      </c>
      <c r="K12" s="27"/>
      <c r="L12" s="50"/>
      <c r="M12" s="50"/>
      <c r="N12" s="50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5.75" customHeight="1">
      <c r="A13" s="8"/>
      <c r="B13" s="106" t="s">
        <v>66</v>
      </c>
      <c r="C13" s="183">
        <f>SUM(C12:D12)</f>
        <v>0</v>
      </c>
      <c r="D13" s="184"/>
      <c r="E13" s="185">
        <f>SUM(E12:G12)</f>
        <v>713166</v>
      </c>
      <c r="F13" s="186"/>
      <c r="G13" s="184"/>
      <c r="H13" s="91">
        <f>SUM(H12)</f>
        <v>618393</v>
      </c>
      <c r="I13" s="187">
        <f>SUM(I12:J12)</f>
        <v>1450000</v>
      </c>
      <c r="J13" s="175"/>
      <c r="K13" s="27"/>
      <c r="L13" s="27"/>
      <c r="M13" s="27"/>
      <c r="N13" s="27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5.75" customHeight="1">
      <c r="A14" s="8"/>
      <c r="B14" s="14"/>
      <c r="C14" s="14"/>
      <c r="D14" s="14"/>
      <c r="E14" s="14"/>
      <c r="F14" s="14"/>
      <c r="G14" s="14"/>
      <c r="H14" s="14"/>
      <c r="I14" s="14"/>
      <c r="J14" s="14"/>
      <c r="K14" s="27"/>
      <c r="L14" s="27"/>
      <c r="M14" s="27"/>
      <c r="N14" s="27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.75" customHeight="1">
      <c r="A15" s="8"/>
      <c r="B15" s="107" t="s">
        <v>186</v>
      </c>
      <c r="C15" s="108"/>
      <c r="D15" s="108"/>
      <c r="E15" s="108"/>
      <c r="F15" s="109"/>
      <c r="G15" s="109"/>
      <c r="H15" s="109"/>
      <c r="I15" s="109"/>
      <c r="J15" s="109"/>
      <c r="K15" s="8"/>
      <c r="L15" s="8"/>
      <c r="M15" s="8"/>
      <c r="N15" s="8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.75" customHeight="1">
      <c r="A16" s="8"/>
      <c r="B16" s="110" t="s">
        <v>68</v>
      </c>
      <c r="C16" s="94" t="s">
        <v>69</v>
      </c>
      <c r="D16" s="111" t="s">
        <v>70</v>
      </c>
      <c r="E16" s="99" t="s">
        <v>66</v>
      </c>
      <c r="F16" s="137" t="s">
        <v>187</v>
      </c>
      <c r="G16" s="14"/>
      <c r="H16" s="14"/>
      <c r="I16" s="14"/>
      <c r="J16" s="14"/>
      <c r="K16" s="8"/>
      <c r="L16" s="8"/>
      <c r="M16" s="8"/>
      <c r="N16" s="8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customHeight="1">
      <c r="A17" s="8"/>
      <c r="B17" s="112" t="s">
        <v>188</v>
      </c>
      <c r="C17" s="113">
        <v>100000</v>
      </c>
      <c r="D17" s="114">
        <f t="shared" ref="D17:D20" si="0">SUMIF(E$46:E$48,B17,D$46:D$49)</f>
        <v>0</v>
      </c>
      <c r="E17" s="99">
        <f t="shared" ref="E17:E20" si="1">SUM(C17:D17)</f>
        <v>100000</v>
      </c>
      <c r="F17" s="138" t="s">
        <v>189</v>
      </c>
      <c r="G17" s="14"/>
      <c r="H17" s="8"/>
      <c r="I17" s="8"/>
      <c r="J17" s="8"/>
      <c r="K17" s="8"/>
      <c r="L17" s="8"/>
      <c r="M17" s="8"/>
      <c r="N17" s="8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.75" customHeight="1">
      <c r="A18" s="8"/>
      <c r="B18" s="66" t="s">
        <v>110</v>
      </c>
      <c r="C18" s="113">
        <v>0</v>
      </c>
      <c r="D18" s="114">
        <f t="shared" si="0"/>
        <v>0</v>
      </c>
      <c r="E18" s="99">
        <f t="shared" si="1"/>
        <v>0</v>
      </c>
      <c r="F18" s="137"/>
      <c r="G18" s="14"/>
      <c r="H18" s="8"/>
      <c r="I18" s="8"/>
      <c r="J18" s="8"/>
      <c r="K18" s="8"/>
      <c r="L18" s="8"/>
      <c r="M18" s="8"/>
      <c r="N18" s="8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customHeight="1">
      <c r="A19" s="8"/>
      <c r="B19" s="66" t="s">
        <v>111</v>
      </c>
      <c r="C19" s="113">
        <v>600000</v>
      </c>
      <c r="D19" s="114">
        <f t="shared" si="0"/>
        <v>0</v>
      </c>
      <c r="E19" s="99">
        <f t="shared" si="1"/>
        <v>600000</v>
      </c>
      <c r="F19" s="138" t="s">
        <v>190</v>
      </c>
      <c r="G19" s="14"/>
      <c r="H19" s="8"/>
      <c r="I19" s="8"/>
      <c r="J19" s="8"/>
      <c r="K19" s="8"/>
      <c r="L19" s="8"/>
      <c r="M19" s="8"/>
      <c r="N19" s="8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customHeight="1">
      <c r="A20" s="8"/>
      <c r="B20" s="66" t="s">
        <v>113</v>
      </c>
      <c r="C20" s="115"/>
      <c r="D20" s="116">
        <f t="shared" si="0"/>
        <v>0</v>
      </c>
      <c r="E20" s="99">
        <f t="shared" si="1"/>
        <v>0</v>
      </c>
      <c r="F20" s="14"/>
      <c r="G20" s="14"/>
      <c r="H20" s="8"/>
      <c r="I20" s="8"/>
      <c r="J20" s="8"/>
      <c r="K20" s="8"/>
      <c r="L20" s="8"/>
      <c r="M20" s="8"/>
      <c r="N20" s="8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.75" customHeight="1">
      <c r="A21" s="8"/>
      <c r="B21" s="117" t="s">
        <v>66</v>
      </c>
      <c r="C21" s="106">
        <f t="shared" ref="C21:E21" si="2">SUM(C17:C20)</f>
        <v>700000</v>
      </c>
      <c r="D21" s="118">
        <f t="shared" si="2"/>
        <v>0</v>
      </c>
      <c r="E21" s="99">
        <f t="shared" si="2"/>
        <v>700000</v>
      </c>
      <c r="F21" s="14"/>
      <c r="G21" s="14"/>
      <c r="H21" s="8"/>
      <c r="I21" s="8"/>
      <c r="J21" s="8"/>
      <c r="K21" s="8"/>
      <c r="L21" s="8"/>
      <c r="M21" s="8"/>
      <c r="N21" s="8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customHeight="1">
      <c r="A22" s="8"/>
      <c r="B22" s="14"/>
      <c r="C22" s="14"/>
      <c r="D22" s="14"/>
      <c r="E22" s="14"/>
      <c r="F22" s="14"/>
      <c r="G22" s="14"/>
      <c r="H22" s="8"/>
      <c r="I22" s="8"/>
      <c r="J22" s="8" t="s">
        <v>191</v>
      </c>
      <c r="K22" s="8">
        <v>19</v>
      </c>
      <c r="L22" s="8"/>
      <c r="M22" s="8"/>
      <c r="N22" s="8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75" customHeight="1">
      <c r="A23" s="8"/>
      <c r="B23" s="107" t="s">
        <v>75</v>
      </c>
      <c r="C23" s="109"/>
      <c r="D23" s="109"/>
      <c r="E23" s="109"/>
      <c r="F23" s="50" t="s">
        <v>114</v>
      </c>
      <c r="G23" s="109"/>
      <c r="H23" s="8"/>
      <c r="I23" s="8"/>
      <c r="J23" s="8"/>
      <c r="K23" s="8"/>
      <c r="L23" s="8"/>
      <c r="M23" s="8"/>
      <c r="N23" s="8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.75" customHeight="1">
      <c r="A24" s="8"/>
      <c r="B24" s="88" t="s">
        <v>30</v>
      </c>
      <c r="C24" s="88" t="s">
        <v>76</v>
      </c>
      <c r="D24" s="88" t="s">
        <v>77</v>
      </c>
      <c r="E24" s="37" t="s">
        <v>115</v>
      </c>
      <c r="F24" s="37" t="s">
        <v>116</v>
      </c>
      <c r="G24" s="14"/>
      <c r="H24" s="8"/>
      <c r="I24" s="8"/>
      <c r="J24" s="8" t="s">
        <v>192</v>
      </c>
      <c r="K24" s="8">
        <v>62</v>
      </c>
      <c r="L24" s="8"/>
      <c r="M24" s="8"/>
      <c r="N24" s="8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customHeight="1">
      <c r="A25" s="8"/>
      <c r="B25" s="188" t="s">
        <v>35</v>
      </c>
      <c r="C25" s="88" t="s">
        <v>117</v>
      </c>
      <c r="D25" s="88" t="s">
        <v>193</v>
      </c>
      <c r="E25" s="88">
        <v>140380</v>
      </c>
      <c r="F25" s="88">
        <v>140380</v>
      </c>
      <c r="G25" s="14"/>
      <c r="H25" s="8"/>
      <c r="I25" s="8"/>
      <c r="J25" s="8" t="s">
        <v>194</v>
      </c>
      <c r="K25" s="8">
        <v>75</v>
      </c>
      <c r="L25" s="8"/>
      <c r="M25" s="8"/>
      <c r="N25" s="8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.75" customHeight="1">
      <c r="A26" s="8"/>
      <c r="B26" s="178"/>
      <c r="C26" s="88" t="s">
        <v>117</v>
      </c>
      <c r="D26" s="88" t="s">
        <v>195</v>
      </c>
      <c r="E26" s="88">
        <v>112100</v>
      </c>
      <c r="F26" s="88">
        <v>112100</v>
      </c>
      <c r="G26" s="14"/>
      <c r="H26" s="8"/>
      <c r="I26" s="8"/>
      <c r="J26" s="8"/>
      <c r="K26" s="8">
        <v>156</v>
      </c>
      <c r="L26" s="8"/>
      <c r="M26" s="8"/>
      <c r="N26" s="8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.75" customHeight="1">
      <c r="A27" s="8"/>
      <c r="B27" s="178"/>
      <c r="C27" s="88" t="s">
        <v>120</v>
      </c>
      <c r="D27" s="37" t="s">
        <v>121</v>
      </c>
      <c r="E27" s="88"/>
      <c r="F27" s="88">
        <v>32970</v>
      </c>
      <c r="J27" s="8"/>
      <c r="K27" s="8">
        <v>71</v>
      </c>
      <c r="L27" s="8"/>
      <c r="M27" s="8"/>
      <c r="N27" s="8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.75" customHeight="1">
      <c r="A28" s="8"/>
      <c r="B28" s="178"/>
      <c r="C28" s="88" t="s">
        <v>120</v>
      </c>
      <c r="D28" s="37" t="s">
        <v>122</v>
      </c>
      <c r="E28" s="88">
        <v>60800</v>
      </c>
      <c r="F28" s="88">
        <v>60800</v>
      </c>
      <c r="G28" s="21"/>
      <c r="J28" s="8"/>
      <c r="K28" s="8">
        <f>K26-K27</f>
        <v>85</v>
      </c>
      <c r="L28" s="8"/>
      <c r="M28" s="8"/>
      <c r="N28" s="8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customHeight="1">
      <c r="A29" s="8"/>
      <c r="B29" s="178"/>
      <c r="C29" s="88" t="s">
        <v>120</v>
      </c>
      <c r="D29" s="88" t="s">
        <v>196</v>
      </c>
      <c r="E29" s="88">
        <v>23100</v>
      </c>
      <c r="F29" s="88">
        <v>23100</v>
      </c>
      <c r="J29" s="8"/>
      <c r="K29" s="8"/>
      <c r="L29" s="8"/>
      <c r="M29" s="8"/>
      <c r="N29" s="8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customHeight="1">
      <c r="A30" s="8"/>
      <c r="B30" s="178"/>
      <c r="C30" s="88" t="s">
        <v>125</v>
      </c>
      <c r="D30" s="88" t="s">
        <v>197</v>
      </c>
      <c r="E30" s="88">
        <v>100089</v>
      </c>
      <c r="F30" s="88">
        <v>100089</v>
      </c>
      <c r="J30" s="8"/>
      <c r="K30" s="8"/>
      <c r="L30" s="8"/>
      <c r="M30" s="8"/>
      <c r="N30" s="8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5.75" customHeight="1">
      <c r="A31" s="8"/>
      <c r="B31" s="178"/>
      <c r="C31" s="88" t="s">
        <v>125</v>
      </c>
      <c r="D31" s="37" t="s">
        <v>127</v>
      </c>
      <c r="E31" s="88"/>
      <c r="F31" s="88">
        <v>53105</v>
      </c>
      <c r="J31" s="8"/>
      <c r="K31" s="8"/>
      <c r="L31" s="8"/>
      <c r="M31" s="8"/>
      <c r="N31" s="8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.75" customHeight="1">
      <c r="A32" s="8"/>
      <c r="B32" s="178"/>
      <c r="C32" s="88" t="s">
        <v>125</v>
      </c>
      <c r="D32" s="88" t="s">
        <v>198</v>
      </c>
      <c r="E32" s="88">
        <v>21070</v>
      </c>
      <c r="F32" s="88">
        <v>21070</v>
      </c>
      <c r="J32" s="8"/>
      <c r="K32" s="8" t="s">
        <v>199</v>
      </c>
      <c r="L32" s="8"/>
      <c r="M32" s="8"/>
      <c r="N32" s="8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.75" customHeight="1">
      <c r="A33" s="8"/>
      <c r="B33" s="178"/>
      <c r="C33" s="88" t="s">
        <v>125</v>
      </c>
      <c r="D33" s="37" t="s">
        <v>129</v>
      </c>
      <c r="E33" s="88">
        <v>52840</v>
      </c>
      <c r="F33" s="88">
        <v>52840</v>
      </c>
      <c r="J33" s="8"/>
      <c r="K33" s="8" t="s">
        <v>200</v>
      </c>
      <c r="L33" s="8"/>
      <c r="M33" s="8"/>
      <c r="N33" s="8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.75" customHeight="1">
      <c r="A34" s="8"/>
      <c r="B34" s="178"/>
      <c r="C34" s="88" t="s">
        <v>125</v>
      </c>
      <c r="D34" s="37" t="s">
        <v>130</v>
      </c>
      <c r="E34" s="88">
        <v>18014</v>
      </c>
      <c r="F34" s="88">
        <v>18014</v>
      </c>
      <c r="J34" s="8"/>
      <c r="K34" s="8" t="s">
        <v>201</v>
      </c>
      <c r="L34" s="8"/>
      <c r="M34" s="8"/>
      <c r="N34" s="8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5.75" customHeight="1">
      <c r="A35" s="8"/>
      <c r="B35" s="178"/>
      <c r="C35" s="88" t="s">
        <v>131</v>
      </c>
      <c r="D35" s="88" t="s">
        <v>202</v>
      </c>
      <c r="E35" s="88"/>
      <c r="F35" s="88">
        <v>8375</v>
      </c>
      <c r="J35" s="8"/>
      <c r="K35" s="8"/>
      <c r="L35" s="8"/>
      <c r="M35" s="8"/>
      <c r="N35" s="8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.75" customHeight="1">
      <c r="A36" s="8"/>
      <c r="B36" s="178"/>
      <c r="C36" s="88" t="s">
        <v>203</v>
      </c>
      <c r="D36" s="88" t="s">
        <v>204</v>
      </c>
      <c r="E36" s="88"/>
      <c r="F36" s="88">
        <v>70000</v>
      </c>
      <c r="J36" s="8"/>
      <c r="K36" s="8" t="s">
        <v>205</v>
      </c>
      <c r="L36" s="8"/>
      <c r="M36" s="8"/>
      <c r="N36" s="8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.75" customHeight="1">
      <c r="A37" s="8"/>
      <c r="B37" s="178"/>
      <c r="C37" s="88" t="s">
        <v>206</v>
      </c>
      <c r="D37" s="37" t="s">
        <v>136</v>
      </c>
      <c r="E37" s="88"/>
      <c r="F37" s="88">
        <v>300000</v>
      </c>
      <c r="J37" s="8"/>
      <c r="K37" s="8"/>
      <c r="L37" s="8"/>
      <c r="M37" s="8"/>
      <c r="N37" s="8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.75" customHeight="1">
      <c r="A38" s="8"/>
      <c r="B38" s="178"/>
      <c r="C38" s="88" t="s">
        <v>117</v>
      </c>
      <c r="D38" s="88" t="s">
        <v>207</v>
      </c>
      <c r="E38" s="88"/>
      <c r="F38" s="88">
        <v>0</v>
      </c>
      <c r="G38" s="109" t="s">
        <v>208</v>
      </c>
      <c r="H38" s="14"/>
      <c r="I38" s="8"/>
      <c r="J38" s="8"/>
      <c r="K38" s="8"/>
      <c r="L38" s="8"/>
      <c r="M38" s="8"/>
      <c r="N38" s="8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.75" customHeight="1">
      <c r="A39" s="8"/>
      <c r="B39" s="178"/>
      <c r="C39" s="88" t="s">
        <v>209</v>
      </c>
      <c r="D39" s="37" t="s">
        <v>139</v>
      </c>
      <c r="E39" s="88"/>
      <c r="F39" s="88">
        <v>0</v>
      </c>
      <c r="G39" s="109" t="s">
        <v>210</v>
      </c>
      <c r="H39" s="14"/>
      <c r="I39" s="8"/>
      <c r="J39" s="8"/>
      <c r="K39" s="8"/>
      <c r="L39" s="8"/>
      <c r="M39" s="8"/>
      <c r="N39" s="8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.75" customHeight="1">
      <c r="A40" s="8"/>
      <c r="B40" s="178"/>
      <c r="C40" s="88" t="s">
        <v>141</v>
      </c>
      <c r="D40" s="37" t="s">
        <v>142</v>
      </c>
      <c r="E40" s="88">
        <v>90000</v>
      </c>
      <c r="F40" s="88">
        <v>90000</v>
      </c>
      <c r="G40" s="109"/>
      <c r="H40" s="14"/>
      <c r="I40" s="8"/>
      <c r="J40" s="8"/>
      <c r="K40" s="8"/>
      <c r="L40" s="8"/>
      <c r="M40" s="8"/>
      <c r="N40" s="8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.75" customHeight="1">
      <c r="A41" s="8"/>
      <c r="B41" s="178"/>
      <c r="C41" s="37" t="s">
        <v>61</v>
      </c>
      <c r="D41" s="37" t="s">
        <v>144</v>
      </c>
      <c r="E41" s="88"/>
      <c r="F41" s="88">
        <v>600000</v>
      </c>
      <c r="G41" s="50" t="s">
        <v>145</v>
      </c>
      <c r="H41" s="27"/>
      <c r="I41" s="8"/>
      <c r="J41" s="8"/>
      <c r="K41" s="8"/>
      <c r="L41" s="8"/>
      <c r="M41" s="8"/>
      <c r="N41" s="8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.75" customHeight="1">
      <c r="A42" s="8"/>
      <c r="B42" s="189" t="s">
        <v>66</v>
      </c>
      <c r="C42" s="168"/>
      <c r="D42" s="169"/>
      <c r="E42" s="122">
        <f t="shared" ref="E42:F42" si="3">SUM(E25:E41)</f>
        <v>618393</v>
      </c>
      <c r="F42" s="122">
        <f t="shared" si="3"/>
        <v>1682843</v>
      </c>
      <c r="G42" s="14"/>
      <c r="H42" s="14"/>
      <c r="I42" s="8"/>
      <c r="J42" s="8"/>
      <c r="K42" s="8"/>
      <c r="L42" s="8"/>
      <c r="M42" s="8"/>
      <c r="N42" s="8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customHeight="1">
      <c r="A43" s="8"/>
      <c r="B43" s="14"/>
      <c r="C43" s="14"/>
      <c r="D43" s="14"/>
      <c r="E43" s="14"/>
      <c r="F43" s="14"/>
      <c r="G43" s="14"/>
      <c r="H43" s="14"/>
      <c r="I43" s="8"/>
      <c r="J43" s="8"/>
      <c r="K43" s="8"/>
      <c r="L43" s="8"/>
      <c r="M43" s="8"/>
      <c r="N43" s="8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.75" customHeight="1">
      <c r="A44" s="8"/>
      <c r="B44" s="107" t="s">
        <v>78</v>
      </c>
      <c r="C44" s="109"/>
      <c r="D44" s="109"/>
      <c r="E44" s="109"/>
      <c r="F44" s="109"/>
      <c r="G44" s="109"/>
      <c r="H44" s="108"/>
      <c r="I44" s="8"/>
      <c r="J44" s="8"/>
      <c r="K44" s="8"/>
      <c r="L44" s="8"/>
      <c r="M44" s="8"/>
      <c r="N44" s="8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.75" customHeight="1">
      <c r="A45" s="8"/>
      <c r="B45" s="88" t="s">
        <v>79</v>
      </c>
      <c r="C45" s="88" t="s">
        <v>77</v>
      </c>
      <c r="D45" s="88" t="s">
        <v>65</v>
      </c>
      <c r="E45" s="88" t="s">
        <v>80</v>
      </c>
      <c r="F45" s="88" t="s">
        <v>57</v>
      </c>
      <c r="G45" s="110" t="s">
        <v>81</v>
      </c>
      <c r="H45" s="88" t="s">
        <v>82</v>
      </c>
      <c r="I45" s="8"/>
      <c r="J45" s="8"/>
      <c r="K45" s="8"/>
      <c r="L45" s="8"/>
      <c r="M45" s="8"/>
      <c r="N45" s="8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customHeight="1">
      <c r="A46" s="8"/>
      <c r="B46" s="88"/>
      <c r="C46" s="88"/>
      <c r="D46" s="88"/>
      <c r="E46" s="123"/>
      <c r="F46" s="88"/>
      <c r="G46" s="106">
        <f t="shared" ref="G46:G47" si="4">H46-B46</f>
        <v>0</v>
      </c>
      <c r="H46" s="88"/>
      <c r="I46" s="8"/>
      <c r="J46" s="8"/>
      <c r="K46" s="8"/>
      <c r="L46" s="8"/>
      <c r="M46" s="8"/>
      <c r="N46" s="8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customHeight="1">
      <c r="A47" s="8"/>
      <c r="B47" s="88"/>
      <c r="C47" s="88"/>
      <c r="D47" s="88"/>
      <c r="E47" s="123"/>
      <c r="F47" s="88"/>
      <c r="G47" s="106">
        <f t="shared" si="4"/>
        <v>0</v>
      </c>
      <c r="H47" s="88"/>
      <c r="I47" s="8"/>
      <c r="J47" s="8"/>
      <c r="K47" s="8"/>
      <c r="L47" s="8"/>
      <c r="M47" s="8"/>
      <c r="N47" s="8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customHeight="1">
      <c r="A50" s="8"/>
      <c r="B50" s="190" t="s">
        <v>83</v>
      </c>
      <c r="C50" s="140"/>
      <c r="D50" s="124">
        <f>SUM(D46:D49)</f>
        <v>0</v>
      </c>
      <c r="E50" s="17" t="s">
        <v>211</v>
      </c>
      <c r="F50" s="17">
        <f>SUM(F46:F49)</f>
        <v>0</v>
      </c>
      <c r="G50" s="14"/>
      <c r="H50" s="8"/>
      <c r="I50" s="8"/>
      <c r="J50" s="8"/>
      <c r="K50" s="8"/>
      <c r="L50" s="8"/>
      <c r="M50" s="8"/>
      <c r="N50" s="8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customHeight="1">
      <c r="A51" s="8"/>
      <c r="B51" s="14"/>
      <c r="C51" s="14"/>
      <c r="D51" s="14"/>
      <c r="E51" s="14"/>
      <c r="F51" s="14"/>
      <c r="G51" s="14"/>
      <c r="H51" s="8"/>
      <c r="I51" s="8"/>
      <c r="J51" s="8"/>
      <c r="K51" s="8"/>
      <c r="L51" s="8"/>
      <c r="M51" s="8"/>
      <c r="N51" s="8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.75" customHeight="1">
      <c r="A52" s="8"/>
      <c r="B52" s="107" t="s">
        <v>85</v>
      </c>
      <c r="C52" s="109"/>
      <c r="D52" s="109"/>
      <c r="E52" s="109"/>
      <c r="F52" s="109"/>
      <c r="G52" s="109"/>
      <c r="H52" s="8"/>
      <c r="I52" s="8"/>
      <c r="J52" s="8"/>
      <c r="K52" s="8"/>
      <c r="L52" s="8"/>
      <c r="M52" s="8"/>
      <c r="N52" s="8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.75" customHeight="1">
      <c r="A53" s="8"/>
      <c r="B53" s="125" t="s">
        <v>86</v>
      </c>
      <c r="C53" s="126" t="s">
        <v>77</v>
      </c>
      <c r="D53" s="126" t="s">
        <v>87</v>
      </c>
      <c r="E53" s="126" t="s">
        <v>212</v>
      </c>
      <c r="F53" s="191" t="s">
        <v>80</v>
      </c>
      <c r="G53" s="172"/>
      <c r="H53" s="127"/>
      <c r="I53" s="8"/>
      <c r="J53" s="8"/>
      <c r="K53" s="8"/>
      <c r="L53" s="8"/>
      <c r="M53" s="8"/>
      <c r="N53" s="8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.75" customHeight="1">
      <c r="A54" s="8"/>
      <c r="B54" s="192" t="s">
        <v>88</v>
      </c>
      <c r="C54" s="180"/>
      <c r="D54" s="175"/>
      <c r="E54" s="130">
        <f>SUM(E55:E86)</f>
        <v>750000</v>
      </c>
      <c r="F54" s="106" t="s">
        <v>89</v>
      </c>
      <c r="G54" s="128" t="s">
        <v>90</v>
      </c>
      <c r="H54" s="127"/>
      <c r="I54" s="8"/>
      <c r="J54" s="8"/>
      <c r="K54" s="8"/>
      <c r="L54" s="8"/>
      <c r="M54" s="8"/>
      <c r="N54" s="8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.75" customHeight="1">
      <c r="A55" s="8"/>
      <c r="B55" s="129">
        <v>46144</v>
      </c>
      <c r="C55" s="57" t="s">
        <v>213</v>
      </c>
      <c r="D55" s="57"/>
      <c r="E55" s="106">
        <v>200000</v>
      </c>
      <c r="F55" s="79" t="s">
        <v>93</v>
      </c>
      <c r="G55" s="77"/>
      <c r="H55" s="127"/>
      <c r="J55" s="8"/>
      <c r="K55" s="8"/>
      <c r="L55" s="8"/>
      <c r="M55" s="8"/>
      <c r="N55" s="8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.75" customHeight="1">
      <c r="A56" s="8"/>
      <c r="B56" s="129">
        <v>46152</v>
      </c>
      <c r="C56" s="57" t="s">
        <v>214</v>
      </c>
      <c r="D56" s="57"/>
      <c r="E56" s="106">
        <v>300000</v>
      </c>
      <c r="F56" s="79" t="s">
        <v>93</v>
      </c>
      <c r="G56" s="77"/>
      <c r="H56" s="127"/>
      <c r="I56" s="8"/>
      <c r="J56" s="8"/>
      <c r="K56" s="8"/>
      <c r="L56" s="8"/>
      <c r="M56" s="8"/>
      <c r="N56" s="8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.75" customHeight="1">
      <c r="A57" s="8"/>
      <c r="B57" s="129">
        <v>46157</v>
      </c>
      <c r="C57" s="57" t="s">
        <v>215</v>
      </c>
      <c r="D57" s="57"/>
      <c r="E57" s="106">
        <v>250000</v>
      </c>
      <c r="F57" s="79" t="s">
        <v>93</v>
      </c>
      <c r="G57" s="77"/>
      <c r="H57" s="131"/>
      <c r="I57" s="8"/>
      <c r="J57" s="8"/>
      <c r="K57" s="8"/>
      <c r="L57" s="8"/>
      <c r="M57" s="8"/>
      <c r="N57" s="8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.75" customHeight="1">
      <c r="A58" s="8"/>
      <c r="B58" s="129"/>
      <c r="C58" s="57"/>
      <c r="D58" s="57"/>
      <c r="E58" s="106"/>
      <c r="F58" s="79"/>
      <c r="G58" s="77"/>
      <c r="H58" s="127"/>
      <c r="I58" s="8"/>
      <c r="J58" s="8"/>
      <c r="K58" s="8"/>
      <c r="L58" s="8"/>
      <c r="M58" s="8"/>
      <c r="N58" s="8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.75" customHeight="1">
      <c r="A59" s="8"/>
      <c r="B59" s="129"/>
      <c r="C59" s="57"/>
      <c r="D59" s="57"/>
      <c r="E59" s="106"/>
      <c r="F59" s="79"/>
      <c r="G59" s="77"/>
      <c r="H59" s="50"/>
      <c r="I59" s="8"/>
      <c r="J59" s="8"/>
      <c r="K59" s="8"/>
      <c r="L59" s="8"/>
      <c r="M59" s="8"/>
      <c r="N59" s="8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.75" customHeight="1">
      <c r="A60" s="8"/>
      <c r="B60" s="129"/>
      <c r="C60" s="57"/>
      <c r="D60" s="57"/>
      <c r="E60" s="106"/>
      <c r="F60" s="79"/>
      <c r="G60" s="77"/>
      <c r="H60" s="127"/>
      <c r="I60" s="8"/>
      <c r="J60" s="8"/>
      <c r="K60" s="8"/>
      <c r="L60" s="8"/>
      <c r="M60" s="8"/>
      <c r="N60" s="8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.75" customHeight="1">
      <c r="A61" s="8"/>
      <c r="B61" s="129"/>
      <c r="C61" s="57"/>
      <c r="D61" s="57"/>
      <c r="E61" s="106"/>
      <c r="F61" s="79"/>
      <c r="G61" s="77"/>
      <c r="H61" s="127"/>
      <c r="I61" s="8"/>
      <c r="J61" s="8"/>
      <c r="K61" s="8"/>
      <c r="L61" s="8"/>
      <c r="M61" s="8"/>
      <c r="N61" s="8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6">
    <mergeCell ref="I13:J13"/>
    <mergeCell ref="B25:B41"/>
    <mergeCell ref="B42:D42"/>
    <mergeCell ref="B50:C50"/>
    <mergeCell ref="F53:G53"/>
    <mergeCell ref="B54:D54"/>
    <mergeCell ref="C10:D10"/>
    <mergeCell ref="C13:D13"/>
    <mergeCell ref="E13:G13"/>
    <mergeCell ref="P2:R2"/>
    <mergeCell ref="B4:C4"/>
    <mergeCell ref="E4:J4"/>
    <mergeCell ref="E7:J7"/>
    <mergeCell ref="B10:B11"/>
    <mergeCell ref="E10:G10"/>
    <mergeCell ref="H10:J10"/>
  </mergeCells>
  <phoneticPr fontId="13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/>
  </sheetViews>
  <sheetFormatPr defaultColWidth="12.6640625" defaultRowHeight="15" customHeight="1"/>
  <cols>
    <col min="1" max="1" width="2.33203125" customWidth="1"/>
    <col min="2" max="10" width="8.77734375" customWidth="1"/>
    <col min="11" max="26" width="8.33203125" customWidth="1"/>
  </cols>
  <sheetData>
    <row r="1" spans="1:26" ht="15.7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.75" customHeight="1">
      <c r="A2" s="21"/>
      <c r="B2" s="22"/>
      <c r="C2" s="22"/>
      <c r="D2" s="23"/>
      <c r="E2" s="24" t="s">
        <v>51</v>
      </c>
      <c r="F2" s="25" t="s">
        <v>52</v>
      </c>
      <c r="G2" s="26" t="s">
        <v>53</v>
      </c>
      <c r="H2" s="27"/>
      <c r="I2" s="27"/>
      <c r="J2" s="27"/>
      <c r="K2" s="27"/>
      <c r="L2" s="21"/>
      <c r="M2" s="21"/>
      <c r="N2" s="21"/>
      <c r="O2" s="21"/>
      <c r="P2" s="156" t="s">
        <v>54</v>
      </c>
      <c r="Q2" s="153"/>
      <c r="R2" s="140"/>
      <c r="S2" s="21"/>
      <c r="T2" s="21"/>
      <c r="U2" s="21"/>
      <c r="V2" s="21"/>
      <c r="W2" s="21"/>
      <c r="X2" s="21"/>
      <c r="Y2" s="21"/>
      <c r="Z2" s="21"/>
    </row>
    <row r="3" spans="1:26" ht="15.75" customHeight="1">
      <c r="A3" s="21"/>
      <c r="B3" s="27"/>
      <c r="C3" s="27"/>
      <c r="D3" s="27"/>
      <c r="E3" s="28"/>
      <c r="F3" s="28"/>
      <c r="G3" s="28"/>
      <c r="H3" s="28"/>
      <c r="I3" s="28"/>
      <c r="J3" s="27"/>
      <c r="K3" s="27"/>
      <c r="L3" s="21"/>
      <c r="M3" s="21"/>
      <c r="N3" s="21"/>
      <c r="O3" s="21"/>
      <c r="P3" s="29"/>
      <c r="Q3" s="29"/>
      <c r="R3" s="29"/>
      <c r="S3" s="21"/>
      <c r="T3" s="21"/>
      <c r="U3" s="21"/>
      <c r="V3" s="21"/>
      <c r="W3" s="21"/>
      <c r="X3" s="21"/>
      <c r="Y3" s="21"/>
      <c r="Z3" s="21"/>
    </row>
    <row r="4" spans="1:26" ht="15.75" customHeight="1">
      <c r="A4" s="21"/>
      <c r="B4" s="157" t="s">
        <v>55</v>
      </c>
      <c r="C4" s="158"/>
      <c r="D4" s="30"/>
      <c r="E4" s="159" t="s">
        <v>38</v>
      </c>
      <c r="F4" s="160"/>
      <c r="G4" s="160"/>
      <c r="H4" s="160"/>
      <c r="I4" s="161"/>
      <c r="J4" s="27"/>
      <c r="K4" s="27"/>
      <c r="L4" s="21"/>
      <c r="M4" s="21"/>
      <c r="N4" s="21"/>
      <c r="O4" s="21"/>
      <c r="P4" s="29"/>
      <c r="Q4" s="29"/>
      <c r="R4" s="29"/>
      <c r="S4" s="21"/>
      <c r="T4" s="21"/>
      <c r="U4" s="21"/>
      <c r="V4" s="21"/>
      <c r="W4" s="21"/>
      <c r="X4" s="21"/>
      <c r="Y4" s="21"/>
      <c r="Z4" s="21"/>
    </row>
    <row r="5" spans="1:26" ht="15.75" customHeight="1">
      <c r="A5" s="21"/>
      <c r="B5" s="31" t="s">
        <v>56</v>
      </c>
      <c r="C5" s="31">
        <f>C13</f>
        <v>0</v>
      </c>
      <c r="D5" s="30"/>
      <c r="E5" s="32"/>
      <c r="F5" s="33"/>
      <c r="G5" s="33"/>
      <c r="H5" s="34"/>
      <c r="I5" s="34"/>
      <c r="J5" s="27"/>
      <c r="K5" s="27"/>
      <c r="L5" s="21"/>
      <c r="M5" s="21"/>
      <c r="N5" s="21"/>
      <c r="O5" s="21"/>
      <c r="P5" s="29"/>
      <c r="Q5" s="29"/>
      <c r="R5" s="29"/>
      <c r="S5" s="21"/>
      <c r="T5" s="21"/>
      <c r="U5" s="21"/>
      <c r="V5" s="21"/>
      <c r="W5" s="21"/>
      <c r="X5" s="21"/>
      <c r="Y5" s="21"/>
      <c r="Z5" s="21"/>
    </row>
    <row r="6" spans="1:26" ht="15.75" customHeight="1">
      <c r="A6" s="21"/>
      <c r="B6" s="35" t="s">
        <v>32</v>
      </c>
      <c r="C6" s="35">
        <f>E13</f>
        <v>0</v>
      </c>
      <c r="D6" s="30"/>
      <c r="E6" s="36"/>
      <c r="F6" s="37"/>
      <c r="G6" s="38"/>
      <c r="H6" s="39"/>
      <c r="I6" s="39"/>
      <c r="J6" s="27"/>
      <c r="K6" s="27"/>
      <c r="L6" s="21"/>
      <c r="M6" s="21"/>
      <c r="N6" s="21"/>
      <c r="O6" s="21"/>
      <c r="P6" s="29"/>
      <c r="Q6" s="29"/>
      <c r="R6" s="29"/>
      <c r="S6" s="21"/>
      <c r="T6" s="21"/>
      <c r="U6" s="21"/>
      <c r="V6" s="21"/>
      <c r="W6" s="21"/>
      <c r="X6" s="21"/>
      <c r="Y6" s="21"/>
      <c r="Z6" s="21"/>
    </row>
    <row r="7" spans="1:26" ht="15.75" customHeight="1">
      <c r="A7" s="21"/>
      <c r="B7" s="40" t="s">
        <v>34</v>
      </c>
      <c r="C7" s="40">
        <f>H13+I13</f>
        <v>0</v>
      </c>
      <c r="D7" s="30"/>
      <c r="E7" s="162"/>
      <c r="F7" s="163"/>
      <c r="G7" s="163"/>
      <c r="H7" s="163"/>
      <c r="I7" s="164"/>
      <c r="J7" s="27"/>
      <c r="K7" s="27"/>
      <c r="L7" s="21"/>
      <c r="M7" s="21"/>
      <c r="N7" s="21"/>
      <c r="O7" s="21"/>
      <c r="P7" s="29"/>
      <c r="Q7" s="29"/>
      <c r="R7" s="29"/>
      <c r="S7" s="21"/>
      <c r="T7" s="21"/>
      <c r="U7" s="21"/>
      <c r="V7" s="21"/>
      <c r="W7" s="21"/>
      <c r="X7" s="21"/>
      <c r="Y7" s="21"/>
      <c r="Z7" s="21"/>
    </row>
    <row r="8" spans="1:26" ht="15.75" customHeight="1">
      <c r="A8" s="21"/>
      <c r="B8" s="41" t="s">
        <v>57</v>
      </c>
      <c r="C8" s="41">
        <f>C5+C6-C7-E7</f>
        <v>0</v>
      </c>
      <c r="D8" s="27"/>
      <c r="E8" s="27"/>
      <c r="F8" s="27"/>
      <c r="G8" s="27"/>
      <c r="H8" s="27"/>
      <c r="I8" s="27"/>
      <c r="J8" s="27"/>
      <c r="K8" s="27"/>
      <c r="L8" s="21"/>
      <c r="M8" s="21"/>
      <c r="N8" s="21"/>
      <c r="O8" s="21"/>
      <c r="P8" s="29"/>
      <c r="Q8" s="29"/>
      <c r="R8" s="29"/>
      <c r="S8" s="21"/>
      <c r="T8" s="21"/>
      <c r="U8" s="21"/>
      <c r="V8" s="21"/>
      <c r="W8" s="21"/>
      <c r="X8" s="21"/>
      <c r="Y8" s="21"/>
      <c r="Z8" s="21"/>
    </row>
    <row r="9" spans="1:26" ht="15.75" customHeight="1">
      <c r="A9" s="21"/>
      <c r="B9" s="42"/>
      <c r="C9" s="27"/>
      <c r="D9" s="27"/>
      <c r="E9" s="42"/>
      <c r="F9" s="42"/>
      <c r="G9" s="42"/>
      <c r="H9" s="42"/>
      <c r="I9" s="42"/>
      <c r="J9" s="42"/>
      <c r="K9" s="27"/>
      <c r="L9" s="21"/>
      <c r="M9" s="21"/>
      <c r="N9" s="21"/>
      <c r="O9" s="21"/>
      <c r="P9" s="43"/>
      <c r="Q9" s="29"/>
      <c r="R9" s="29"/>
      <c r="S9" s="21"/>
      <c r="T9" s="21"/>
      <c r="U9" s="21"/>
      <c r="V9" s="21"/>
      <c r="W9" s="21"/>
      <c r="X9" s="21"/>
      <c r="Y9" s="21"/>
      <c r="Z9" s="21"/>
    </row>
    <row r="10" spans="1:26" ht="15.75" customHeight="1">
      <c r="A10" s="21"/>
      <c r="B10" s="165" t="s">
        <v>30</v>
      </c>
      <c r="C10" s="174" t="s">
        <v>56</v>
      </c>
      <c r="D10" s="175"/>
      <c r="E10" s="167" t="s">
        <v>32</v>
      </c>
      <c r="F10" s="168"/>
      <c r="G10" s="169"/>
      <c r="H10" s="170" t="s">
        <v>34</v>
      </c>
      <c r="I10" s="168"/>
      <c r="J10" s="169"/>
      <c r="K10" s="27"/>
      <c r="L10" s="21"/>
      <c r="M10" s="21"/>
      <c r="N10" s="21"/>
      <c r="O10" s="21"/>
      <c r="P10" s="29"/>
      <c r="Q10" s="29"/>
      <c r="R10" s="29"/>
      <c r="S10" s="21"/>
      <c r="T10" s="21"/>
      <c r="U10" s="21"/>
      <c r="V10" s="21"/>
      <c r="W10" s="21"/>
      <c r="X10" s="21"/>
      <c r="Y10" s="21"/>
      <c r="Z10" s="21"/>
    </row>
    <row r="11" spans="1:26" ht="15.75" customHeight="1">
      <c r="A11" s="21"/>
      <c r="B11" s="166"/>
      <c r="C11" s="45" t="s">
        <v>58</v>
      </c>
      <c r="D11" s="45" t="s">
        <v>59</v>
      </c>
      <c r="E11" s="46" t="s">
        <v>60</v>
      </c>
      <c r="F11" s="46" t="s">
        <v>61</v>
      </c>
      <c r="G11" s="46" t="s">
        <v>62</v>
      </c>
      <c r="H11" s="47" t="s">
        <v>35</v>
      </c>
      <c r="I11" s="48" t="s">
        <v>63</v>
      </c>
      <c r="J11" s="49" t="s">
        <v>64</v>
      </c>
      <c r="K11" s="27"/>
      <c r="L11" s="50"/>
      <c r="M11" s="50"/>
      <c r="N11" s="50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5.75" customHeight="1">
      <c r="A12" s="21"/>
      <c r="B12" s="51" t="s">
        <v>65</v>
      </c>
      <c r="C12" s="52"/>
      <c r="D12" s="52"/>
      <c r="E12" s="53"/>
      <c r="F12" s="53"/>
      <c r="G12" s="53"/>
      <c r="H12" s="54"/>
      <c r="I12" s="55"/>
      <c r="J12" s="56"/>
      <c r="K12" s="27"/>
      <c r="L12" s="50"/>
      <c r="M12" s="50"/>
      <c r="N12" s="50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5.75" customHeight="1">
      <c r="A13" s="21"/>
      <c r="B13" s="57" t="s">
        <v>66</v>
      </c>
      <c r="C13" s="174"/>
      <c r="D13" s="175"/>
      <c r="E13" s="167"/>
      <c r="F13" s="169"/>
      <c r="G13" s="58"/>
      <c r="H13" s="40"/>
      <c r="I13" s="176"/>
      <c r="J13" s="175"/>
      <c r="K13" s="27"/>
      <c r="L13" s="27"/>
      <c r="M13" s="27"/>
      <c r="N13" s="27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5.75" customHeight="1">
      <c r="A14" s="21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.75" customHeight="1">
      <c r="A15" s="21"/>
      <c r="B15" s="59" t="s">
        <v>67</v>
      </c>
      <c r="C15" s="60"/>
      <c r="D15" s="60"/>
      <c r="E15" s="60"/>
      <c r="F15" s="50"/>
      <c r="G15" s="50"/>
      <c r="H15" s="50"/>
      <c r="I15" s="50"/>
      <c r="J15" s="50"/>
      <c r="K15" s="50"/>
      <c r="L15" s="50"/>
      <c r="M15" s="50"/>
      <c r="N15" s="50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.75" customHeight="1">
      <c r="A16" s="21"/>
      <c r="B16" s="61" t="s">
        <v>68</v>
      </c>
      <c r="C16" s="44" t="s">
        <v>69</v>
      </c>
      <c r="D16" s="62" t="s">
        <v>70</v>
      </c>
      <c r="E16" s="49" t="s">
        <v>66</v>
      </c>
      <c r="F16" s="27"/>
      <c r="G16" s="27"/>
      <c r="H16" s="27"/>
      <c r="I16" s="27"/>
      <c r="J16" s="27"/>
      <c r="K16" s="27"/>
      <c r="L16" s="27"/>
      <c r="M16" s="27"/>
      <c r="N16" s="27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customHeight="1">
      <c r="A17" s="21"/>
      <c r="B17" s="63" t="s">
        <v>71</v>
      </c>
      <c r="C17" s="64"/>
      <c r="D17" s="65"/>
      <c r="E17" s="49"/>
      <c r="F17" s="27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.75" customHeight="1">
      <c r="A18" s="21"/>
      <c r="B18" s="66" t="s">
        <v>72</v>
      </c>
      <c r="C18" s="64"/>
      <c r="D18" s="65"/>
      <c r="E18" s="49"/>
      <c r="F18" s="27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customHeight="1">
      <c r="A19" s="21"/>
      <c r="B19" s="66" t="s">
        <v>73</v>
      </c>
      <c r="C19" s="64"/>
      <c r="D19" s="65"/>
      <c r="E19" s="49"/>
      <c r="F19" s="27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customHeight="1">
      <c r="A20" s="21"/>
      <c r="B20" s="66" t="s">
        <v>74</v>
      </c>
      <c r="C20" s="67"/>
      <c r="D20" s="68"/>
      <c r="E20" s="49"/>
      <c r="F20" s="27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.75" customHeight="1">
      <c r="A21" s="21"/>
      <c r="B21" s="69" t="s">
        <v>66</v>
      </c>
      <c r="C21" s="57"/>
      <c r="D21" s="70"/>
      <c r="E21" s="49"/>
      <c r="F21" s="27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customHeight="1">
      <c r="A22" s="21"/>
      <c r="B22" s="27"/>
      <c r="C22" s="27"/>
      <c r="D22" s="27"/>
      <c r="E22" s="27"/>
      <c r="F22" s="27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75" customHeight="1">
      <c r="A23" s="21"/>
      <c r="B23" s="59" t="s">
        <v>75</v>
      </c>
      <c r="C23" s="50"/>
      <c r="D23" s="50"/>
      <c r="E23" s="50"/>
      <c r="F23" s="50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.75" customHeight="1">
      <c r="A24" s="21"/>
      <c r="B24" s="37" t="s">
        <v>30</v>
      </c>
      <c r="C24" s="37" t="s">
        <v>76</v>
      </c>
      <c r="D24" s="37" t="s">
        <v>77</v>
      </c>
      <c r="E24" s="37" t="s">
        <v>34</v>
      </c>
      <c r="F24" s="27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customHeight="1">
      <c r="A25" s="21"/>
      <c r="B25" s="177" t="s">
        <v>35</v>
      </c>
      <c r="C25" s="37"/>
      <c r="D25" s="37"/>
      <c r="E25" s="37"/>
      <c r="F25" s="27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.75" customHeight="1">
      <c r="A26" s="21"/>
      <c r="B26" s="178"/>
      <c r="C26" s="37"/>
      <c r="D26" s="37"/>
      <c r="E26" s="37"/>
      <c r="F26" s="27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.75" customHeight="1">
      <c r="A27" s="21"/>
      <c r="B27" s="178"/>
      <c r="C27" s="37"/>
      <c r="D27" s="37"/>
      <c r="E27" s="37"/>
      <c r="F27" s="27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.75" customHeight="1">
      <c r="A28" s="21"/>
      <c r="B28" s="178"/>
      <c r="C28" s="71"/>
      <c r="D28" s="71"/>
      <c r="E28" s="7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customHeight="1">
      <c r="A29" s="21"/>
      <c r="B29" s="178"/>
      <c r="C29" s="71"/>
      <c r="D29" s="71"/>
      <c r="E29" s="71"/>
      <c r="F29" s="27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customHeight="1">
      <c r="A30" s="21"/>
      <c r="B30" s="178"/>
      <c r="C30" s="71"/>
      <c r="D30" s="71"/>
      <c r="E30" s="71"/>
      <c r="F30" s="27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5.75" customHeight="1">
      <c r="A31" s="21"/>
      <c r="B31" s="178"/>
      <c r="C31" s="37"/>
      <c r="D31" s="37"/>
      <c r="E31" s="37"/>
      <c r="F31" s="27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.75" customHeight="1">
      <c r="A32" s="21"/>
      <c r="B32" s="178"/>
      <c r="C32" s="37"/>
      <c r="D32" s="37"/>
      <c r="E32" s="37"/>
      <c r="F32" s="27"/>
      <c r="G32" s="21"/>
      <c r="H32" s="27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.75" customHeight="1">
      <c r="A33" s="21"/>
      <c r="B33" s="178"/>
      <c r="C33" s="37"/>
      <c r="D33" s="37"/>
      <c r="E33" s="37"/>
      <c r="F33" s="27"/>
      <c r="G33" s="27"/>
      <c r="H33" s="27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.75" customHeight="1">
      <c r="A34" s="21"/>
      <c r="B34" s="178"/>
      <c r="C34" s="37"/>
      <c r="D34" s="37"/>
      <c r="E34" s="37"/>
      <c r="F34" s="27"/>
      <c r="G34" s="27"/>
      <c r="H34" s="27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5.75" customHeight="1">
      <c r="A35" s="21"/>
      <c r="B35" s="178"/>
      <c r="C35" s="37"/>
      <c r="D35" s="37"/>
      <c r="E35" s="37"/>
      <c r="F35" s="27"/>
      <c r="G35" s="27"/>
      <c r="H35" s="27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.75" customHeight="1">
      <c r="A36" s="21"/>
      <c r="B36" s="178"/>
      <c r="C36" s="37"/>
      <c r="D36" s="37"/>
      <c r="E36" s="37"/>
      <c r="F36" s="27"/>
      <c r="G36" s="27"/>
      <c r="H36" s="27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.75" customHeight="1">
      <c r="A37" s="21"/>
      <c r="B37" s="178"/>
      <c r="C37" s="37"/>
      <c r="D37" s="37"/>
      <c r="E37" s="37"/>
      <c r="F37" s="27"/>
      <c r="G37" s="27"/>
      <c r="H37" s="27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.75" customHeight="1">
      <c r="A38" s="21"/>
      <c r="B38" s="178"/>
      <c r="C38" s="37"/>
      <c r="D38" s="37"/>
      <c r="E38" s="37"/>
      <c r="F38" s="27"/>
      <c r="G38" s="27"/>
      <c r="H38" s="27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.75" customHeight="1">
      <c r="A39" s="21"/>
      <c r="B39" s="178"/>
      <c r="C39" s="37"/>
      <c r="D39" s="37"/>
      <c r="E39" s="37"/>
      <c r="F39" s="27"/>
      <c r="G39" s="27"/>
      <c r="H39" s="27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.75" customHeight="1">
      <c r="A40" s="21"/>
      <c r="B40" s="179" t="s">
        <v>66</v>
      </c>
      <c r="C40" s="180"/>
      <c r="D40" s="175"/>
      <c r="E40" s="72">
        <f>SUM(E25:E39)</f>
        <v>0</v>
      </c>
      <c r="F40" s="27"/>
      <c r="G40" s="27"/>
      <c r="H40" s="27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.75" customHeight="1">
      <c r="A41" s="21"/>
      <c r="B41" s="27"/>
      <c r="C41" s="27"/>
      <c r="D41" s="27"/>
      <c r="E41" s="27"/>
      <c r="F41" s="27"/>
      <c r="G41" s="27"/>
      <c r="H41" s="27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.75" customHeight="1">
      <c r="A42" s="21"/>
      <c r="B42" s="59" t="s">
        <v>78</v>
      </c>
      <c r="C42" s="50"/>
      <c r="D42" s="50"/>
      <c r="E42" s="50"/>
      <c r="F42" s="50"/>
      <c r="G42" s="50"/>
      <c r="H42" s="60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customHeight="1">
      <c r="A43" s="21"/>
      <c r="B43" s="37" t="s">
        <v>79</v>
      </c>
      <c r="C43" s="37" t="s">
        <v>77</v>
      </c>
      <c r="D43" s="37" t="s">
        <v>65</v>
      </c>
      <c r="E43" s="37" t="s">
        <v>80</v>
      </c>
      <c r="F43" s="37" t="s">
        <v>57</v>
      </c>
      <c r="G43" s="61" t="s">
        <v>81</v>
      </c>
      <c r="H43" s="37" t="s">
        <v>82</v>
      </c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.75" customHeight="1">
      <c r="A44" s="21"/>
      <c r="B44" s="37"/>
      <c r="C44" s="37"/>
      <c r="D44" s="37"/>
      <c r="E44" s="73"/>
      <c r="F44" s="37"/>
      <c r="G44" s="57">
        <f t="shared" ref="G44:G45" si="0">H44-B44</f>
        <v>0</v>
      </c>
      <c r="H44" s="37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.75" customHeight="1">
      <c r="A45" s="21"/>
      <c r="B45" s="37"/>
      <c r="C45" s="37"/>
      <c r="D45" s="37"/>
      <c r="E45" s="73"/>
      <c r="F45" s="37"/>
      <c r="G45" s="57">
        <f t="shared" si="0"/>
        <v>0</v>
      </c>
      <c r="H45" s="37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customHeight="1">
      <c r="A48" s="21"/>
      <c r="B48" s="181" t="s">
        <v>83</v>
      </c>
      <c r="C48" s="182"/>
      <c r="D48" s="74">
        <f>SUM(D44:D47)</f>
        <v>0</v>
      </c>
      <c r="E48" s="57" t="s">
        <v>84</v>
      </c>
      <c r="F48" s="57">
        <f>SUM(F44:F47)</f>
        <v>0</v>
      </c>
      <c r="G48" s="27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customHeight="1">
      <c r="A49" s="21"/>
      <c r="B49" s="27"/>
      <c r="C49" s="27"/>
      <c r="D49" s="27"/>
      <c r="E49" s="27"/>
      <c r="F49" s="27"/>
      <c r="G49" s="27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customHeight="1">
      <c r="A50" s="21"/>
      <c r="B50" s="59" t="s">
        <v>85</v>
      </c>
      <c r="C50" s="50"/>
      <c r="D50" s="50"/>
      <c r="E50" s="50"/>
      <c r="F50" s="50"/>
      <c r="G50" s="50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customHeight="1">
      <c r="A51" s="21"/>
      <c r="B51" s="75" t="s">
        <v>86</v>
      </c>
      <c r="C51" s="76" t="s">
        <v>77</v>
      </c>
      <c r="D51" s="76" t="s">
        <v>87</v>
      </c>
      <c r="E51" s="76" t="s">
        <v>65</v>
      </c>
      <c r="F51" s="171" t="s">
        <v>80</v>
      </c>
      <c r="G51" s="172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.75" customHeight="1">
      <c r="A52" s="21"/>
      <c r="B52" s="173" t="s">
        <v>88</v>
      </c>
      <c r="C52" s="168"/>
      <c r="D52" s="169"/>
      <c r="E52" s="49"/>
      <c r="F52" s="57" t="s">
        <v>89</v>
      </c>
      <c r="G52" s="77" t="s">
        <v>90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.75" customHeight="1">
      <c r="A53" s="21"/>
      <c r="B53" s="78">
        <v>45326</v>
      </c>
      <c r="C53" s="57" t="s">
        <v>91</v>
      </c>
      <c r="D53" s="57" t="s">
        <v>92</v>
      </c>
      <c r="E53" s="57">
        <v>500000</v>
      </c>
      <c r="F53" s="79" t="s">
        <v>93</v>
      </c>
      <c r="G53" s="77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.75" customHeight="1">
      <c r="A54" s="21"/>
      <c r="B54" s="78">
        <v>45333</v>
      </c>
      <c r="C54" s="57" t="s">
        <v>94</v>
      </c>
      <c r="D54" s="57" t="s">
        <v>95</v>
      </c>
      <c r="E54" s="57">
        <v>300000</v>
      </c>
      <c r="F54" s="79" t="s">
        <v>93</v>
      </c>
      <c r="G54" s="77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.75" customHeight="1">
      <c r="A55" s="21"/>
      <c r="B55" s="78">
        <v>45346</v>
      </c>
      <c r="C55" s="57" t="s">
        <v>96</v>
      </c>
      <c r="D55" s="57" t="s">
        <v>97</v>
      </c>
      <c r="E55" s="57">
        <v>100000</v>
      </c>
      <c r="F55" s="79" t="s">
        <v>93</v>
      </c>
      <c r="G55" s="77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.75" customHeight="1">
      <c r="A56" s="21"/>
      <c r="B56" s="78">
        <v>45349</v>
      </c>
      <c r="C56" s="57" t="s">
        <v>98</v>
      </c>
      <c r="D56" s="57" t="s">
        <v>99</v>
      </c>
      <c r="E56" s="57">
        <v>120000</v>
      </c>
      <c r="F56" s="79" t="s">
        <v>93</v>
      </c>
      <c r="G56" s="77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6">
    <mergeCell ref="I13:J13"/>
    <mergeCell ref="B25:B39"/>
    <mergeCell ref="B40:D40"/>
    <mergeCell ref="B48:C48"/>
    <mergeCell ref="F51:G51"/>
    <mergeCell ref="B52:D52"/>
    <mergeCell ref="C10:D10"/>
    <mergeCell ref="C13:D13"/>
    <mergeCell ref="E13:F13"/>
    <mergeCell ref="P2:R2"/>
    <mergeCell ref="B4:C4"/>
    <mergeCell ref="E4:I4"/>
    <mergeCell ref="E7:I7"/>
    <mergeCell ref="B10:B11"/>
    <mergeCell ref="E10:G10"/>
    <mergeCell ref="H10:J10"/>
  </mergeCells>
  <phoneticPr fontId="13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defaultColWidth="12.6640625" defaultRowHeight="15" customHeight="1"/>
  <cols>
    <col min="1" max="1" width="2.33203125" customWidth="1"/>
    <col min="2" max="10" width="8.77734375" customWidth="1"/>
    <col min="11" max="26" width="8.33203125" customWidth="1"/>
  </cols>
  <sheetData>
    <row r="1" spans="1:26" ht="15.7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.75" customHeight="1">
      <c r="A2" s="21"/>
      <c r="B2" s="22"/>
      <c r="C2" s="22"/>
      <c r="D2" s="23"/>
      <c r="E2" s="24" t="s">
        <v>51</v>
      </c>
      <c r="F2" s="25" t="s">
        <v>52</v>
      </c>
      <c r="G2" s="26" t="s">
        <v>53</v>
      </c>
      <c r="H2" s="27"/>
      <c r="I2" s="27"/>
      <c r="J2" s="27"/>
      <c r="K2" s="27"/>
      <c r="L2" s="21"/>
      <c r="M2" s="21"/>
      <c r="N2" s="21"/>
      <c r="O2" s="21"/>
      <c r="P2" s="156" t="s">
        <v>54</v>
      </c>
      <c r="Q2" s="153"/>
      <c r="R2" s="140"/>
      <c r="S2" s="21"/>
      <c r="T2" s="21"/>
      <c r="U2" s="21"/>
      <c r="V2" s="21"/>
      <c r="W2" s="21"/>
      <c r="X2" s="21"/>
      <c r="Y2" s="21"/>
      <c r="Z2" s="21"/>
    </row>
    <row r="3" spans="1:26" ht="15.75" customHeight="1">
      <c r="A3" s="21"/>
      <c r="B3" s="27"/>
      <c r="C3" s="27"/>
      <c r="D3" s="27"/>
      <c r="E3" s="28"/>
      <c r="F3" s="28"/>
      <c r="G3" s="28"/>
      <c r="H3" s="28"/>
      <c r="I3" s="28"/>
      <c r="J3" s="27"/>
      <c r="K3" s="27"/>
      <c r="L3" s="21"/>
      <c r="M3" s="21"/>
      <c r="N3" s="21"/>
      <c r="O3" s="21"/>
      <c r="P3" s="29"/>
      <c r="Q3" s="29"/>
      <c r="R3" s="29"/>
      <c r="S3" s="21"/>
      <c r="T3" s="21"/>
      <c r="U3" s="21"/>
      <c r="V3" s="21"/>
      <c r="W3" s="21"/>
      <c r="X3" s="21"/>
      <c r="Y3" s="21"/>
      <c r="Z3" s="21"/>
    </row>
    <row r="4" spans="1:26" ht="15.75" customHeight="1">
      <c r="A4" s="21"/>
      <c r="B4" s="157" t="s">
        <v>55</v>
      </c>
      <c r="C4" s="158"/>
      <c r="D4" s="30"/>
      <c r="E4" s="159" t="s">
        <v>38</v>
      </c>
      <c r="F4" s="160"/>
      <c r="G4" s="160"/>
      <c r="H4" s="160"/>
      <c r="I4" s="161"/>
      <c r="J4" s="27"/>
      <c r="K4" s="27"/>
      <c r="L4" s="21"/>
      <c r="M4" s="21"/>
      <c r="N4" s="21"/>
      <c r="O4" s="21"/>
      <c r="P4" s="29"/>
      <c r="Q4" s="29"/>
      <c r="R4" s="29"/>
      <c r="S4" s="21"/>
      <c r="T4" s="21"/>
      <c r="U4" s="21"/>
      <c r="V4" s="21"/>
      <c r="W4" s="21"/>
      <c r="X4" s="21"/>
      <c r="Y4" s="21"/>
      <c r="Z4" s="21"/>
    </row>
    <row r="5" spans="1:26" ht="15.75" customHeight="1">
      <c r="A5" s="21"/>
      <c r="B5" s="31" t="s">
        <v>56</v>
      </c>
      <c r="C5" s="31">
        <f>C13</f>
        <v>0</v>
      </c>
      <c r="D5" s="30"/>
      <c r="E5" s="32"/>
      <c r="F5" s="33"/>
      <c r="G5" s="33"/>
      <c r="H5" s="34"/>
      <c r="I5" s="34"/>
      <c r="J5" s="27"/>
      <c r="K5" s="27"/>
      <c r="L5" s="21"/>
      <c r="M5" s="21"/>
      <c r="N5" s="21"/>
      <c r="O5" s="21"/>
      <c r="P5" s="29"/>
      <c r="Q5" s="29"/>
      <c r="R5" s="29"/>
      <c r="S5" s="21"/>
      <c r="T5" s="21"/>
      <c r="U5" s="21"/>
      <c r="V5" s="21"/>
      <c r="W5" s="21"/>
      <c r="X5" s="21"/>
      <c r="Y5" s="21"/>
      <c r="Z5" s="21"/>
    </row>
    <row r="6" spans="1:26" ht="15.75" customHeight="1">
      <c r="A6" s="21"/>
      <c r="B6" s="35" t="s">
        <v>32</v>
      </c>
      <c r="C6" s="35">
        <f>E13</f>
        <v>0</v>
      </c>
      <c r="D6" s="30"/>
      <c r="E6" s="36"/>
      <c r="F6" s="37"/>
      <c r="G6" s="38"/>
      <c r="H6" s="39"/>
      <c r="I6" s="39"/>
      <c r="J6" s="27"/>
      <c r="K6" s="27"/>
      <c r="L6" s="21"/>
      <c r="M6" s="21"/>
      <c r="N6" s="21"/>
      <c r="O6" s="21"/>
      <c r="P6" s="29"/>
      <c r="Q6" s="29"/>
      <c r="R6" s="29"/>
      <c r="S6" s="21"/>
      <c r="T6" s="21"/>
      <c r="U6" s="21"/>
      <c r="V6" s="21"/>
      <c r="W6" s="21"/>
      <c r="X6" s="21"/>
      <c r="Y6" s="21"/>
      <c r="Z6" s="21"/>
    </row>
    <row r="7" spans="1:26" ht="15.75" customHeight="1">
      <c r="A7" s="21"/>
      <c r="B7" s="40" t="s">
        <v>34</v>
      </c>
      <c r="C7" s="40">
        <f>H13+I13</f>
        <v>0</v>
      </c>
      <c r="D7" s="30"/>
      <c r="E7" s="162"/>
      <c r="F7" s="163"/>
      <c r="G7" s="163"/>
      <c r="H7" s="163"/>
      <c r="I7" s="164"/>
      <c r="J7" s="27"/>
      <c r="K7" s="27"/>
      <c r="L7" s="21"/>
      <c r="M7" s="21"/>
      <c r="N7" s="21"/>
      <c r="O7" s="21"/>
      <c r="P7" s="29"/>
      <c r="Q7" s="29"/>
      <c r="R7" s="29"/>
      <c r="S7" s="21"/>
      <c r="T7" s="21"/>
      <c r="U7" s="21"/>
      <c r="V7" s="21"/>
      <c r="W7" s="21"/>
      <c r="X7" s="21"/>
      <c r="Y7" s="21"/>
      <c r="Z7" s="21"/>
    </row>
    <row r="8" spans="1:26" ht="15.75" customHeight="1">
      <c r="A8" s="21"/>
      <c r="B8" s="41" t="s">
        <v>57</v>
      </c>
      <c r="C8" s="41">
        <f>C5+C6-C7-E7</f>
        <v>0</v>
      </c>
      <c r="D8" s="27"/>
      <c r="E8" s="27"/>
      <c r="F8" s="27"/>
      <c r="G8" s="27"/>
      <c r="H8" s="27"/>
      <c r="I8" s="27"/>
      <c r="J8" s="27"/>
      <c r="K8" s="27"/>
      <c r="L8" s="21"/>
      <c r="M8" s="21"/>
      <c r="N8" s="21"/>
      <c r="O8" s="21"/>
      <c r="P8" s="29"/>
      <c r="Q8" s="29"/>
      <c r="R8" s="29"/>
      <c r="S8" s="21"/>
      <c r="T8" s="21"/>
      <c r="U8" s="21"/>
      <c r="V8" s="21"/>
      <c r="W8" s="21"/>
      <c r="X8" s="21"/>
      <c r="Y8" s="21"/>
      <c r="Z8" s="21"/>
    </row>
    <row r="9" spans="1:26" ht="15.75" customHeight="1">
      <c r="A9" s="21"/>
      <c r="B9" s="42"/>
      <c r="C9" s="27"/>
      <c r="D9" s="27"/>
      <c r="E9" s="42"/>
      <c r="F9" s="42"/>
      <c r="G9" s="42"/>
      <c r="H9" s="42"/>
      <c r="I9" s="42"/>
      <c r="J9" s="42"/>
      <c r="K9" s="27"/>
      <c r="L9" s="21"/>
      <c r="M9" s="21"/>
      <c r="N9" s="21"/>
      <c r="O9" s="21"/>
      <c r="P9" s="43"/>
      <c r="Q9" s="29"/>
      <c r="R9" s="29"/>
      <c r="S9" s="21"/>
      <c r="T9" s="21"/>
      <c r="U9" s="21"/>
      <c r="V9" s="21"/>
      <c r="W9" s="21"/>
      <c r="X9" s="21"/>
      <c r="Y9" s="21"/>
      <c r="Z9" s="21"/>
    </row>
    <row r="10" spans="1:26" ht="15.75" customHeight="1">
      <c r="A10" s="21"/>
      <c r="B10" s="165" t="s">
        <v>30</v>
      </c>
      <c r="C10" s="174" t="s">
        <v>56</v>
      </c>
      <c r="D10" s="175"/>
      <c r="E10" s="167" t="s">
        <v>32</v>
      </c>
      <c r="F10" s="168"/>
      <c r="G10" s="169"/>
      <c r="H10" s="170" t="s">
        <v>34</v>
      </c>
      <c r="I10" s="168"/>
      <c r="J10" s="169"/>
      <c r="K10" s="27"/>
      <c r="L10" s="21"/>
      <c r="M10" s="21"/>
      <c r="N10" s="21"/>
      <c r="O10" s="21"/>
      <c r="P10" s="29"/>
      <c r="Q10" s="29"/>
      <c r="R10" s="29"/>
      <c r="S10" s="21"/>
      <c r="T10" s="21"/>
      <c r="U10" s="21"/>
      <c r="V10" s="21"/>
      <c r="W10" s="21"/>
      <c r="X10" s="21"/>
      <c r="Y10" s="21"/>
      <c r="Z10" s="21"/>
    </row>
    <row r="11" spans="1:26" ht="15.75" customHeight="1">
      <c r="A11" s="21"/>
      <c r="B11" s="166"/>
      <c r="C11" s="45" t="s">
        <v>58</v>
      </c>
      <c r="D11" s="45" t="s">
        <v>59</v>
      </c>
      <c r="E11" s="46" t="s">
        <v>60</v>
      </c>
      <c r="F11" s="46" t="s">
        <v>61</v>
      </c>
      <c r="G11" s="46" t="s">
        <v>62</v>
      </c>
      <c r="H11" s="47" t="s">
        <v>35</v>
      </c>
      <c r="I11" s="48" t="s">
        <v>63</v>
      </c>
      <c r="J11" s="49" t="s">
        <v>64</v>
      </c>
      <c r="K11" s="27"/>
      <c r="L11" s="50"/>
      <c r="M11" s="50"/>
      <c r="N11" s="50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5.75" customHeight="1">
      <c r="A12" s="21"/>
      <c r="B12" s="51" t="s">
        <v>65</v>
      </c>
      <c r="C12" s="52"/>
      <c r="D12" s="52"/>
      <c r="E12" s="53"/>
      <c r="F12" s="53"/>
      <c r="G12" s="53"/>
      <c r="H12" s="54"/>
      <c r="I12" s="55"/>
      <c r="J12" s="56"/>
      <c r="K12" s="27"/>
      <c r="L12" s="50"/>
      <c r="M12" s="50"/>
      <c r="N12" s="50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5.75" customHeight="1">
      <c r="A13" s="21"/>
      <c r="B13" s="57" t="s">
        <v>66</v>
      </c>
      <c r="C13" s="174"/>
      <c r="D13" s="175"/>
      <c r="E13" s="167"/>
      <c r="F13" s="169"/>
      <c r="G13" s="58"/>
      <c r="H13" s="40"/>
      <c r="I13" s="176"/>
      <c r="J13" s="175"/>
      <c r="K13" s="27"/>
      <c r="L13" s="27"/>
      <c r="M13" s="27"/>
      <c r="N13" s="27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5.75" customHeight="1">
      <c r="A14" s="21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.75" customHeight="1">
      <c r="A15" s="21"/>
      <c r="B15" s="59" t="s">
        <v>67</v>
      </c>
      <c r="C15" s="60"/>
      <c r="D15" s="60"/>
      <c r="E15" s="60"/>
      <c r="F15" s="50"/>
      <c r="G15" s="50"/>
      <c r="H15" s="50"/>
      <c r="I15" s="50"/>
      <c r="J15" s="50"/>
      <c r="K15" s="50"/>
      <c r="L15" s="50"/>
      <c r="M15" s="50"/>
      <c r="N15" s="50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.75" customHeight="1">
      <c r="A16" s="21"/>
      <c r="B16" s="61" t="s">
        <v>68</v>
      </c>
      <c r="C16" s="44" t="s">
        <v>69</v>
      </c>
      <c r="D16" s="62" t="s">
        <v>70</v>
      </c>
      <c r="E16" s="49" t="s">
        <v>66</v>
      </c>
      <c r="F16" s="27"/>
      <c r="G16" s="27"/>
      <c r="H16" s="27"/>
      <c r="I16" s="27"/>
      <c r="J16" s="27"/>
      <c r="K16" s="27"/>
      <c r="L16" s="27"/>
      <c r="M16" s="27"/>
      <c r="N16" s="27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customHeight="1">
      <c r="A17" s="21"/>
      <c r="B17" s="63" t="s">
        <v>71</v>
      </c>
      <c r="C17" s="64"/>
      <c r="D17" s="65"/>
      <c r="E17" s="49"/>
      <c r="F17" s="27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.75" customHeight="1">
      <c r="A18" s="21"/>
      <c r="B18" s="66" t="s">
        <v>72</v>
      </c>
      <c r="C18" s="64"/>
      <c r="D18" s="65"/>
      <c r="E18" s="49"/>
      <c r="F18" s="27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customHeight="1">
      <c r="A19" s="21"/>
      <c r="B19" s="66" t="s">
        <v>73</v>
      </c>
      <c r="C19" s="64"/>
      <c r="D19" s="65"/>
      <c r="E19" s="49"/>
      <c r="F19" s="27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customHeight="1">
      <c r="A20" s="21"/>
      <c r="B20" s="66" t="s">
        <v>74</v>
      </c>
      <c r="C20" s="67"/>
      <c r="D20" s="68"/>
      <c r="E20" s="49"/>
      <c r="F20" s="27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.75" customHeight="1">
      <c r="A21" s="21"/>
      <c r="B21" s="69" t="s">
        <v>66</v>
      </c>
      <c r="C21" s="57"/>
      <c r="D21" s="70"/>
      <c r="E21" s="49"/>
      <c r="F21" s="27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customHeight="1">
      <c r="A22" s="21"/>
      <c r="B22" s="27"/>
      <c r="C22" s="27"/>
      <c r="D22" s="27"/>
      <c r="E22" s="27"/>
      <c r="F22" s="27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75" customHeight="1">
      <c r="A23" s="21"/>
      <c r="B23" s="59" t="s">
        <v>75</v>
      </c>
      <c r="C23" s="50"/>
      <c r="D23" s="50"/>
      <c r="E23" s="50"/>
      <c r="F23" s="50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.75" customHeight="1">
      <c r="A24" s="21"/>
      <c r="B24" s="37" t="s">
        <v>30</v>
      </c>
      <c r="C24" s="37" t="s">
        <v>76</v>
      </c>
      <c r="D24" s="37" t="s">
        <v>77</v>
      </c>
      <c r="E24" s="37" t="s">
        <v>34</v>
      </c>
      <c r="F24" s="27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customHeight="1">
      <c r="A25" s="21"/>
      <c r="B25" s="177" t="s">
        <v>35</v>
      </c>
      <c r="C25" s="37"/>
      <c r="D25" s="37"/>
      <c r="E25" s="37"/>
      <c r="F25" s="27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.75" customHeight="1">
      <c r="A26" s="21"/>
      <c r="B26" s="178"/>
      <c r="C26" s="37"/>
      <c r="D26" s="37"/>
      <c r="E26" s="37"/>
      <c r="F26" s="27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.75" customHeight="1">
      <c r="A27" s="21"/>
      <c r="B27" s="178"/>
      <c r="C27" s="37"/>
      <c r="D27" s="37"/>
      <c r="E27" s="37"/>
      <c r="F27" s="27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.75" customHeight="1">
      <c r="A28" s="21"/>
      <c r="B28" s="178"/>
      <c r="C28" s="71"/>
      <c r="D28" s="71"/>
      <c r="E28" s="7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customHeight="1">
      <c r="A29" s="21"/>
      <c r="B29" s="178"/>
      <c r="C29" s="71"/>
      <c r="D29" s="71"/>
      <c r="E29" s="71"/>
      <c r="F29" s="27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customHeight="1">
      <c r="A30" s="21"/>
      <c r="B30" s="178"/>
      <c r="C30" s="71"/>
      <c r="D30" s="71"/>
      <c r="E30" s="71"/>
      <c r="F30" s="27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5.75" customHeight="1">
      <c r="A31" s="21"/>
      <c r="B31" s="178"/>
      <c r="C31" s="37"/>
      <c r="D31" s="37"/>
      <c r="E31" s="37"/>
      <c r="F31" s="27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.75" customHeight="1">
      <c r="A32" s="21"/>
      <c r="B32" s="178"/>
      <c r="C32" s="37"/>
      <c r="D32" s="37"/>
      <c r="E32" s="37"/>
      <c r="F32" s="27"/>
      <c r="G32" s="21"/>
      <c r="H32" s="27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.75" customHeight="1">
      <c r="A33" s="21"/>
      <c r="B33" s="178"/>
      <c r="C33" s="37"/>
      <c r="D33" s="37"/>
      <c r="E33" s="37"/>
      <c r="F33" s="27"/>
      <c r="G33" s="27"/>
      <c r="H33" s="27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.75" customHeight="1">
      <c r="A34" s="21"/>
      <c r="B34" s="178"/>
      <c r="C34" s="37"/>
      <c r="D34" s="37"/>
      <c r="E34" s="37"/>
      <c r="F34" s="27"/>
      <c r="G34" s="27"/>
      <c r="H34" s="27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5.75" customHeight="1">
      <c r="A35" s="21"/>
      <c r="B35" s="178"/>
      <c r="C35" s="37"/>
      <c r="D35" s="37"/>
      <c r="E35" s="37"/>
      <c r="F35" s="27"/>
      <c r="G35" s="27"/>
      <c r="H35" s="27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.75" customHeight="1">
      <c r="A36" s="21"/>
      <c r="B36" s="178"/>
      <c r="C36" s="37"/>
      <c r="D36" s="37"/>
      <c r="E36" s="37"/>
      <c r="F36" s="27"/>
      <c r="G36" s="27"/>
      <c r="H36" s="27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.75" customHeight="1">
      <c r="A37" s="21"/>
      <c r="B37" s="178"/>
      <c r="C37" s="37"/>
      <c r="D37" s="37"/>
      <c r="E37" s="37"/>
      <c r="F37" s="27"/>
      <c r="G37" s="27"/>
      <c r="H37" s="27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.75" customHeight="1">
      <c r="A38" s="21"/>
      <c r="B38" s="178"/>
      <c r="C38" s="37"/>
      <c r="D38" s="37"/>
      <c r="E38" s="37"/>
      <c r="F38" s="27"/>
      <c r="G38" s="27"/>
      <c r="H38" s="27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.75" customHeight="1">
      <c r="A39" s="21"/>
      <c r="B39" s="178"/>
      <c r="C39" s="37"/>
      <c r="D39" s="37"/>
      <c r="E39" s="37"/>
      <c r="F39" s="27"/>
      <c r="G39" s="27"/>
      <c r="H39" s="27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.75" customHeight="1">
      <c r="A40" s="21"/>
      <c r="B40" s="179" t="s">
        <v>66</v>
      </c>
      <c r="C40" s="180"/>
      <c r="D40" s="175"/>
      <c r="E40" s="72">
        <f>SUM(E25:E39)</f>
        <v>0</v>
      </c>
      <c r="F40" s="27"/>
      <c r="G40" s="27"/>
      <c r="H40" s="27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.75" customHeight="1">
      <c r="A41" s="21"/>
      <c r="B41" s="27"/>
      <c r="C41" s="27"/>
      <c r="D41" s="27"/>
      <c r="E41" s="27"/>
      <c r="F41" s="27"/>
      <c r="G41" s="27"/>
      <c r="H41" s="27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.75" customHeight="1">
      <c r="A42" s="21"/>
      <c r="B42" s="59" t="s">
        <v>78</v>
      </c>
      <c r="C42" s="50"/>
      <c r="D42" s="50"/>
      <c r="E42" s="50"/>
      <c r="F42" s="50"/>
      <c r="G42" s="50"/>
      <c r="H42" s="60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customHeight="1">
      <c r="A43" s="21"/>
      <c r="B43" s="37" t="s">
        <v>79</v>
      </c>
      <c r="C43" s="37" t="s">
        <v>77</v>
      </c>
      <c r="D43" s="37" t="s">
        <v>65</v>
      </c>
      <c r="E43" s="37" t="s">
        <v>80</v>
      </c>
      <c r="F43" s="37" t="s">
        <v>57</v>
      </c>
      <c r="G43" s="61" t="s">
        <v>81</v>
      </c>
      <c r="H43" s="37" t="s">
        <v>82</v>
      </c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.75" customHeight="1">
      <c r="A44" s="21"/>
      <c r="B44" s="37"/>
      <c r="C44" s="37"/>
      <c r="D44" s="37"/>
      <c r="E44" s="73"/>
      <c r="F44" s="37"/>
      <c r="G44" s="57">
        <f t="shared" ref="G44:G45" si="0">H44-B44</f>
        <v>0</v>
      </c>
      <c r="H44" s="37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.75" customHeight="1">
      <c r="A45" s="21"/>
      <c r="B45" s="37"/>
      <c r="C45" s="37"/>
      <c r="D45" s="37"/>
      <c r="E45" s="73"/>
      <c r="F45" s="37"/>
      <c r="G45" s="57">
        <f t="shared" si="0"/>
        <v>0</v>
      </c>
      <c r="H45" s="37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customHeight="1">
      <c r="A48" s="21"/>
      <c r="B48" s="181" t="s">
        <v>83</v>
      </c>
      <c r="C48" s="182"/>
      <c r="D48" s="74">
        <f>SUM(D44:D47)</f>
        <v>0</v>
      </c>
      <c r="E48" s="57" t="s">
        <v>84</v>
      </c>
      <c r="F48" s="57">
        <f>SUM(F44:F47)</f>
        <v>0</v>
      </c>
      <c r="G48" s="27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customHeight="1">
      <c r="A49" s="21"/>
      <c r="B49" s="27"/>
      <c r="C49" s="27"/>
      <c r="D49" s="27"/>
      <c r="E49" s="27"/>
      <c r="F49" s="27"/>
      <c r="G49" s="27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customHeight="1">
      <c r="A50" s="21"/>
      <c r="B50" s="59" t="s">
        <v>85</v>
      </c>
      <c r="C50" s="50"/>
      <c r="D50" s="50"/>
      <c r="E50" s="50"/>
      <c r="F50" s="50"/>
      <c r="G50" s="50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customHeight="1">
      <c r="A51" s="21"/>
      <c r="B51" s="75" t="s">
        <v>86</v>
      </c>
      <c r="C51" s="76" t="s">
        <v>77</v>
      </c>
      <c r="D51" s="76" t="s">
        <v>87</v>
      </c>
      <c r="E51" s="76" t="s">
        <v>65</v>
      </c>
      <c r="F51" s="171" t="s">
        <v>80</v>
      </c>
      <c r="G51" s="172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.75" customHeight="1">
      <c r="A52" s="21"/>
      <c r="B52" s="173" t="s">
        <v>88</v>
      </c>
      <c r="C52" s="168"/>
      <c r="D52" s="169"/>
      <c r="E52" s="49"/>
      <c r="F52" s="57" t="s">
        <v>89</v>
      </c>
      <c r="G52" s="77" t="s">
        <v>90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.75" customHeight="1">
      <c r="A53" s="21"/>
      <c r="B53" s="78">
        <v>45326</v>
      </c>
      <c r="C53" s="57" t="s">
        <v>91</v>
      </c>
      <c r="D53" s="57" t="s">
        <v>92</v>
      </c>
      <c r="E53" s="57">
        <v>500000</v>
      </c>
      <c r="F53" s="79" t="s">
        <v>93</v>
      </c>
      <c r="G53" s="77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.75" customHeight="1">
      <c r="A54" s="21"/>
      <c r="B54" s="78">
        <v>45333</v>
      </c>
      <c r="C54" s="57" t="s">
        <v>94</v>
      </c>
      <c r="D54" s="57" t="s">
        <v>95</v>
      </c>
      <c r="E54" s="57">
        <v>300000</v>
      </c>
      <c r="F54" s="79" t="s">
        <v>93</v>
      </c>
      <c r="G54" s="77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.75" customHeight="1">
      <c r="A55" s="21"/>
      <c r="B55" s="78">
        <v>45346</v>
      </c>
      <c r="C55" s="57" t="s">
        <v>96</v>
      </c>
      <c r="D55" s="57" t="s">
        <v>97</v>
      </c>
      <c r="E55" s="57">
        <v>100000</v>
      </c>
      <c r="F55" s="79" t="s">
        <v>93</v>
      </c>
      <c r="G55" s="77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.75" customHeight="1">
      <c r="A56" s="21"/>
      <c r="B56" s="78">
        <v>45349</v>
      </c>
      <c r="C56" s="57" t="s">
        <v>98</v>
      </c>
      <c r="D56" s="57" t="s">
        <v>99</v>
      </c>
      <c r="E56" s="57">
        <v>120000</v>
      </c>
      <c r="F56" s="79" t="s">
        <v>93</v>
      </c>
      <c r="G56" s="77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6">
    <mergeCell ref="I13:J13"/>
    <mergeCell ref="B25:B39"/>
    <mergeCell ref="B40:D40"/>
    <mergeCell ref="B48:C48"/>
    <mergeCell ref="F51:G51"/>
    <mergeCell ref="B52:D52"/>
    <mergeCell ref="C10:D10"/>
    <mergeCell ref="C13:D13"/>
    <mergeCell ref="E13:F13"/>
    <mergeCell ref="P2:R2"/>
    <mergeCell ref="B4:C4"/>
    <mergeCell ref="E4:I4"/>
    <mergeCell ref="E7:I7"/>
    <mergeCell ref="B10:B11"/>
    <mergeCell ref="E10:G10"/>
    <mergeCell ref="H10:J10"/>
  </mergeCells>
  <phoneticPr fontId="13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/>
  </sheetViews>
  <sheetFormatPr defaultColWidth="12.6640625" defaultRowHeight="15" customHeight="1"/>
  <cols>
    <col min="1" max="1" width="2.33203125" customWidth="1"/>
    <col min="2" max="10" width="8.77734375" customWidth="1"/>
    <col min="11" max="26" width="8.33203125" customWidth="1"/>
  </cols>
  <sheetData>
    <row r="1" spans="1:26" ht="15.7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.75" customHeight="1">
      <c r="A2" s="21"/>
      <c r="B2" s="22"/>
      <c r="C2" s="22"/>
      <c r="D2" s="23"/>
      <c r="E2" s="24" t="s">
        <v>51</v>
      </c>
      <c r="F2" s="25" t="s">
        <v>52</v>
      </c>
      <c r="G2" s="26" t="s">
        <v>53</v>
      </c>
      <c r="H2" s="27"/>
      <c r="I2" s="27"/>
      <c r="J2" s="27"/>
      <c r="K2" s="27"/>
      <c r="L2" s="21"/>
      <c r="M2" s="21"/>
      <c r="N2" s="21"/>
      <c r="O2" s="21"/>
      <c r="P2" s="156" t="s">
        <v>54</v>
      </c>
      <c r="Q2" s="153"/>
      <c r="R2" s="140"/>
      <c r="S2" s="21"/>
      <c r="T2" s="21"/>
      <c r="U2" s="21"/>
      <c r="V2" s="21"/>
      <c r="W2" s="21"/>
      <c r="X2" s="21"/>
      <c r="Y2" s="21"/>
      <c r="Z2" s="21"/>
    </row>
    <row r="3" spans="1:26" ht="15.75" customHeight="1">
      <c r="A3" s="21"/>
      <c r="B3" s="27"/>
      <c r="C3" s="27"/>
      <c r="D3" s="27"/>
      <c r="E3" s="28"/>
      <c r="F3" s="28"/>
      <c r="G3" s="28"/>
      <c r="H3" s="28"/>
      <c r="I3" s="28"/>
      <c r="J3" s="27"/>
      <c r="K3" s="27"/>
      <c r="L3" s="21"/>
      <c r="M3" s="21"/>
      <c r="N3" s="21"/>
      <c r="O3" s="21"/>
      <c r="P3" s="29"/>
      <c r="Q3" s="29"/>
      <c r="R3" s="29"/>
      <c r="S3" s="21"/>
      <c r="T3" s="21"/>
      <c r="U3" s="21"/>
      <c r="V3" s="21"/>
      <c r="W3" s="21"/>
      <c r="X3" s="21"/>
      <c r="Y3" s="21"/>
      <c r="Z3" s="21"/>
    </row>
    <row r="4" spans="1:26" ht="15.75" customHeight="1">
      <c r="A4" s="21"/>
      <c r="B4" s="157" t="s">
        <v>55</v>
      </c>
      <c r="C4" s="158"/>
      <c r="D4" s="30"/>
      <c r="E4" s="159" t="s">
        <v>38</v>
      </c>
      <c r="F4" s="160"/>
      <c r="G4" s="160"/>
      <c r="H4" s="160"/>
      <c r="I4" s="161"/>
      <c r="J4" s="27"/>
      <c r="K4" s="27"/>
      <c r="L4" s="21"/>
      <c r="M4" s="21"/>
      <c r="N4" s="21"/>
      <c r="O4" s="21"/>
      <c r="P4" s="29"/>
      <c r="Q4" s="29"/>
      <c r="R4" s="29"/>
      <c r="S4" s="21"/>
      <c r="T4" s="21"/>
      <c r="U4" s="21"/>
      <c r="V4" s="21"/>
      <c r="W4" s="21"/>
      <c r="X4" s="21"/>
      <c r="Y4" s="21"/>
      <c r="Z4" s="21"/>
    </row>
    <row r="5" spans="1:26" ht="15.75" customHeight="1">
      <c r="A5" s="21"/>
      <c r="B5" s="31" t="s">
        <v>56</v>
      </c>
      <c r="C5" s="31">
        <f>C13</f>
        <v>0</v>
      </c>
      <c r="D5" s="30"/>
      <c r="E5" s="32"/>
      <c r="F5" s="33"/>
      <c r="G5" s="33"/>
      <c r="H5" s="34"/>
      <c r="I5" s="34"/>
      <c r="J5" s="27"/>
      <c r="K5" s="27"/>
      <c r="L5" s="21"/>
      <c r="M5" s="21"/>
      <c r="N5" s="21"/>
      <c r="O5" s="21"/>
      <c r="P5" s="29"/>
      <c r="Q5" s="29"/>
      <c r="R5" s="29"/>
      <c r="S5" s="21"/>
      <c r="T5" s="21"/>
      <c r="U5" s="21"/>
      <c r="V5" s="21"/>
      <c r="W5" s="21"/>
      <c r="X5" s="21"/>
      <c r="Y5" s="21"/>
      <c r="Z5" s="21"/>
    </row>
    <row r="6" spans="1:26" ht="15.75" customHeight="1">
      <c r="A6" s="21"/>
      <c r="B6" s="35" t="s">
        <v>32</v>
      </c>
      <c r="C6" s="35">
        <f>E13</f>
        <v>0</v>
      </c>
      <c r="D6" s="30"/>
      <c r="E6" s="36"/>
      <c r="F6" s="37"/>
      <c r="G6" s="38"/>
      <c r="H6" s="39"/>
      <c r="I6" s="39"/>
      <c r="J6" s="27"/>
      <c r="K6" s="27"/>
      <c r="L6" s="21"/>
      <c r="M6" s="21"/>
      <c r="N6" s="21"/>
      <c r="O6" s="21"/>
      <c r="P6" s="29"/>
      <c r="Q6" s="29"/>
      <c r="R6" s="29"/>
      <c r="S6" s="21"/>
      <c r="T6" s="21"/>
      <c r="U6" s="21"/>
      <c r="V6" s="21"/>
      <c r="W6" s="21"/>
      <c r="X6" s="21"/>
      <c r="Y6" s="21"/>
      <c r="Z6" s="21"/>
    </row>
    <row r="7" spans="1:26" ht="15.75" customHeight="1">
      <c r="A7" s="21"/>
      <c r="B7" s="40" t="s">
        <v>34</v>
      </c>
      <c r="C7" s="40">
        <f>H13+I13</f>
        <v>0</v>
      </c>
      <c r="D7" s="30"/>
      <c r="E7" s="162"/>
      <c r="F7" s="163"/>
      <c r="G7" s="163"/>
      <c r="H7" s="163"/>
      <c r="I7" s="164"/>
      <c r="J7" s="27"/>
      <c r="K7" s="27"/>
      <c r="L7" s="21"/>
      <c r="M7" s="21"/>
      <c r="N7" s="21"/>
      <c r="O7" s="21"/>
      <c r="P7" s="29"/>
      <c r="Q7" s="29"/>
      <c r="R7" s="29"/>
      <c r="S7" s="21"/>
      <c r="T7" s="21"/>
      <c r="U7" s="21"/>
      <c r="V7" s="21"/>
      <c r="W7" s="21"/>
      <c r="X7" s="21"/>
      <c r="Y7" s="21"/>
      <c r="Z7" s="21"/>
    </row>
    <row r="8" spans="1:26" ht="15.75" customHeight="1">
      <c r="A8" s="21"/>
      <c r="B8" s="41" t="s">
        <v>57</v>
      </c>
      <c r="C8" s="41">
        <f>C5+C6-C7-E7</f>
        <v>0</v>
      </c>
      <c r="D8" s="27"/>
      <c r="E8" s="27"/>
      <c r="F8" s="27"/>
      <c r="G8" s="27"/>
      <c r="H8" s="27"/>
      <c r="I8" s="27"/>
      <c r="J8" s="27"/>
      <c r="K8" s="27"/>
      <c r="L8" s="21"/>
      <c r="M8" s="21"/>
      <c r="N8" s="21"/>
      <c r="O8" s="21"/>
      <c r="P8" s="29"/>
      <c r="Q8" s="29"/>
      <c r="R8" s="29"/>
      <c r="S8" s="21"/>
      <c r="T8" s="21"/>
      <c r="U8" s="21"/>
      <c r="V8" s="21"/>
      <c r="W8" s="21"/>
      <c r="X8" s="21"/>
      <c r="Y8" s="21"/>
      <c r="Z8" s="21"/>
    </row>
    <row r="9" spans="1:26" ht="15.75" customHeight="1">
      <c r="A9" s="21"/>
      <c r="B9" s="42"/>
      <c r="C9" s="27"/>
      <c r="D9" s="27"/>
      <c r="E9" s="42"/>
      <c r="F9" s="42"/>
      <c r="G9" s="42"/>
      <c r="H9" s="42"/>
      <c r="I9" s="42"/>
      <c r="J9" s="42"/>
      <c r="K9" s="27"/>
      <c r="L9" s="21"/>
      <c r="M9" s="21"/>
      <c r="N9" s="21"/>
      <c r="O9" s="21"/>
      <c r="P9" s="43"/>
      <c r="Q9" s="29"/>
      <c r="R9" s="29"/>
      <c r="S9" s="21"/>
      <c r="T9" s="21"/>
      <c r="U9" s="21"/>
      <c r="V9" s="21"/>
      <c r="W9" s="21"/>
      <c r="X9" s="21"/>
      <c r="Y9" s="21"/>
      <c r="Z9" s="21"/>
    </row>
    <row r="10" spans="1:26" ht="15.75" customHeight="1">
      <c r="A10" s="21"/>
      <c r="B10" s="165" t="s">
        <v>30</v>
      </c>
      <c r="C10" s="174" t="s">
        <v>56</v>
      </c>
      <c r="D10" s="175"/>
      <c r="E10" s="167" t="s">
        <v>32</v>
      </c>
      <c r="F10" s="168"/>
      <c r="G10" s="169"/>
      <c r="H10" s="170" t="s">
        <v>34</v>
      </c>
      <c r="I10" s="168"/>
      <c r="J10" s="169"/>
      <c r="K10" s="27"/>
      <c r="L10" s="21"/>
      <c r="M10" s="21"/>
      <c r="N10" s="21"/>
      <c r="O10" s="21"/>
      <c r="P10" s="29"/>
      <c r="Q10" s="29"/>
      <c r="R10" s="29"/>
      <c r="S10" s="21"/>
      <c r="T10" s="21"/>
      <c r="U10" s="21"/>
      <c r="V10" s="21"/>
      <c r="W10" s="21"/>
      <c r="X10" s="21"/>
      <c r="Y10" s="21"/>
      <c r="Z10" s="21"/>
    </row>
    <row r="11" spans="1:26" ht="15.75" customHeight="1">
      <c r="A11" s="21"/>
      <c r="B11" s="166"/>
      <c r="C11" s="45" t="s">
        <v>58</v>
      </c>
      <c r="D11" s="45" t="s">
        <v>59</v>
      </c>
      <c r="E11" s="46" t="s">
        <v>60</v>
      </c>
      <c r="F11" s="46" t="s">
        <v>61</v>
      </c>
      <c r="G11" s="46" t="s">
        <v>62</v>
      </c>
      <c r="H11" s="47" t="s">
        <v>35</v>
      </c>
      <c r="I11" s="48" t="s">
        <v>63</v>
      </c>
      <c r="J11" s="49" t="s">
        <v>64</v>
      </c>
      <c r="K11" s="27"/>
      <c r="L11" s="50"/>
      <c r="M11" s="50"/>
      <c r="N11" s="50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5.75" customHeight="1">
      <c r="A12" s="21"/>
      <c r="B12" s="51" t="s">
        <v>65</v>
      </c>
      <c r="C12" s="52"/>
      <c r="D12" s="52"/>
      <c r="E12" s="53"/>
      <c r="F12" s="53"/>
      <c r="G12" s="53"/>
      <c r="H12" s="54"/>
      <c r="I12" s="55"/>
      <c r="J12" s="56"/>
      <c r="K12" s="27"/>
      <c r="L12" s="50"/>
      <c r="M12" s="50"/>
      <c r="N12" s="50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5.75" customHeight="1">
      <c r="A13" s="21"/>
      <c r="B13" s="57" t="s">
        <v>66</v>
      </c>
      <c r="C13" s="174"/>
      <c r="D13" s="175"/>
      <c r="E13" s="167"/>
      <c r="F13" s="169"/>
      <c r="G13" s="58"/>
      <c r="H13" s="40"/>
      <c r="I13" s="176"/>
      <c r="J13" s="175"/>
      <c r="K13" s="27"/>
      <c r="L13" s="27"/>
      <c r="M13" s="27"/>
      <c r="N13" s="27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5.75" customHeight="1">
      <c r="A14" s="21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.75" customHeight="1">
      <c r="A15" s="21"/>
      <c r="B15" s="59" t="s">
        <v>67</v>
      </c>
      <c r="C15" s="60"/>
      <c r="D15" s="60"/>
      <c r="E15" s="60"/>
      <c r="F15" s="50"/>
      <c r="G15" s="50"/>
      <c r="H15" s="50"/>
      <c r="I15" s="50"/>
      <c r="J15" s="50"/>
      <c r="K15" s="50"/>
      <c r="L15" s="50"/>
      <c r="M15" s="50"/>
      <c r="N15" s="50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.75" customHeight="1">
      <c r="A16" s="21"/>
      <c r="B16" s="61" t="s">
        <v>68</v>
      </c>
      <c r="C16" s="44" t="s">
        <v>69</v>
      </c>
      <c r="D16" s="62" t="s">
        <v>70</v>
      </c>
      <c r="E16" s="49" t="s">
        <v>66</v>
      </c>
      <c r="F16" s="27"/>
      <c r="G16" s="27"/>
      <c r="H16" s="27"/>
      <c r="I16" s="27"/>
      <c r="J16" s="27"/>
      <c r="K16" s="27"/>
      <c r="L16" s="27"/>
      <c r="M16" s="27"/>
      <c r="N16" s="27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customHeight="1">
      <c r="A17" s="21"/>
      <c r="B17" s="63" t="s">
        <v>71</v>
      </c>
      <c r="C17" s="64"/>
      <c r="D17" s="65"/>
      <c r="E17" s="49"/>
      <c r="F17" s="27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.75" customHeight="1">
      <c r="A18" s="21"/>
      <c r="B18" s="66" t="s">
        <v>72</v>
      </c>
      <c r="C18" s="64"/>
      <c r="D18" s="65"/>
      <c r="E18" s="49"/>
      <c r="F18" s="27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customHeight="1">
      <c r="A19" s="21"/>
      <c r="B19" s="66" t="s">
        <v>73</v>
      </c>
      <c r="C19" s="64"/>
      <c r="D19" s="65"/>
      <c r="E19" s="49"/>
      <c r="F19" s="27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customHeight="1">
      <c r="A20" s="21"/>
      <c r="B20" s="66" t="s">
        <v>74</v>
      </c>
      <c r="C20" s="67"/>
      <c r="D20" s="68"/>
      <c r="E20" s="49"/>
      <c r="F20" s="27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.75" customHeight="1">
      <c r="A21" s="21"/>
      <c r="B21" s="69" t="s">
        <v>66</v>
      </c>
      <c r="C21" s="57"/>
      <c r="D21" s="70"/>
      <c r="E21" s="49"/>
      <c r="F21" s="27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customHeight="1">
      <c r="A22" s="21"/>
      <c r="B22" s="27"/>
      <c r="C22" s="27"/>
      <c r="D22" s="27"/>
      <c r="E22" s="27"/>
      <c r="F22" s="27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75" customHeight="1">
      <c r="A23" s="21"/>
      <c r="B23" s="59" t="s">
        <v>75</v>
      </c>
      <c r="C23" s="50"/>
      <c r="D23" s="50"/>
      <c r="E23" s="50"/>
      <c r="F23" s="50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.75" customHeight="1">
      <c r="A24" s="21"/>
      <c r="B24" s="37" t="s">
        <v>30</v>
      </c>
      <c r="C24" s="37" t="s">
        <v>76</v>
      </c>
      <c r="D24" s="37" t="s">
        <v>77</v>
      </c>
      <c r="E24" s="37" t="s">
        <v>34</v>
      </c>
      <c r="F24" s="27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customHeight="1">
      <c r="A25" s="21"/>
      <c r="B25" s="177" t="s">
        <v>35</v>
      </c>
      <c r="C25" s="37"/>
      <c r="D25" s="37"/>
      <c r="E25" s="37"/>
      <c r="F25" s="27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.75" customHeight="1">
      <c r="A26" s="21"/>
      <c r="B26" s="178"/>
      <c r="C26" s="37"/>
      <c r="D26" s="37"/>
      <c r="E26" s="37"/>
      <c r="F26" s="27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.75" customHeight="1">
      <c r="A27" s="21"/>
      <c r="B27" s="178"/>
      <c r="C27" s="37"/>
      <c r="D27" s="37"/>
      <c r="E27" s="37"/>
      <c r="F27" s="27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.75" customHeight="1">
      <c r="A28" s="21"/>
      <c r="B28" s="178"/>
      <c r="C28" s="71"/>
      <c r="D28" s="71"/>
      <c r="E28" s="7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customHeight="1">
      <c r="A29" s="21"/>
      <c r="B29" s="178"/>
      <c r="C29" s="71"/>
      <c r="D29" s="71"/>
      <c r="E29" s="71"/>
      <c r="F29" s="27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customHeight="1">
      <c r="A30" s="21"/>
      <c r="B30" s="178"/>
      <c r="C30" s="71"/>
      <c r="D30" s="71"/>
      <c r="E30" s="71"/>
      <c r="F30" s="27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5.75" customHeight="1">
      <c r="A31" s="21"/>
      <c r="B31" s="178"/>
      <c r="C31" s="37"/>
      <c r="D31" s="37"/>
      <c r="E31" s="37"/>
      <c r="F31" s="27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.75" customHeight="1">
      <c r="A32" s="21"/>
      <c r="B32" s="178"/>
      <c r="C32" s="37"/>
      <c r="D32" s="37"/>
      <c r="E32" s="37"/>
      <c r="F32" s="27"/>
      <c r="G32" s="21"/>
      <c r="H32" s="27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.75" customHeight="1">
      <c r="A33" s="21"/>
      <c r="B33" s="178"/>
      <c r="C33" s="37"/>
      <c r="D33" s="37"/>
      <c r="E33" s="37"/>
      <c r="F33" s="27"/>
      <c r="G33" s="27"/>
      <c r="H33" s="27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.75" customHeight="1">
      <c r="A34" s="21"/>
      <c r="B34" s="178"/>
      <c r="C34" s="37"/>
      <c r="D34" s="37"/>
      <c r="E34" s="37"/>
      <c r="F34" s="27"/>
      <c r="G34" s="27"/>
      <c r="H34" s="27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5.75" customHeight="1">
      <c r="A35" s="21"/>
      <c r="B35" s="178"/>
      <c r="C35" s="37"/>
      <c r="D35" s="37"/>
      <c r="E35" s="37"/>
      <c r="F35" s="27"/>
      <c r="G35" s="27"/>
      <c r="H35" s="27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.75" customHeight="1">
      <c r="A36" s="21"/>
      <c r="B36" s="178"/>
      <c r="C36" s="37"/>
      <c r="D36" s="37"/>
      <c r="E36" s="37"/>
      <c r="F36" s="27"/>
      <c r="G36" s="27"/>
      <c r="H36" s="27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.75" customHeight="1">
      <c r="A37" s="21"/>
      <c r="B37" s="178"/>
      <c r="C37" s="37"/>
      <c r="D37" s="37"/>
      <c r="E37" s="37"/>
      <c r="F37" s="27"/>
      <c r="G37" s="27"/>
      <c r="H37" s="27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.75" customHeight="1">
      <c r="A38" s="21"/>
      <c r="B38" s="178"/>
      <c r="C38" s="37"/>
      <c r="D38" s="37"/>
      <c r="E38" s="37"/>
      <c r="F38" s="27"/>
      <c r="G38" s="27"/>
      <c r="H38" s="27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.75" customHeight="1">
      <c r="A39" s="21"/>
      <c r="B39" s="178"/>
      <c r="C39" s="37"/>
      <c r="D39" s="37"/>
      <c r="E39" s="37"/>
      <c r="F39" s="27"/>
      <c r="G39" s="27"/>
      <c r="H39" s="27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.75" customHeight="1">
      <c r="A40" s="21"/>
      <c r="B40" s="179" t="s">
        <v>66</v>
      </c>
      <c r="C40" s="180"/>
      <c r="D40" s="175"/>
      <c r="E40" s="72">
        <f>SUM(E25:E39)</f>
        <v>0</v>
      </c>
      <c r="F40" s="27"/>
      <c r="G40" s="27"/>
      <c r="H40" s="27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.75" customHeight="1">
      <c r="A41" s="21"/>
      <c r="B41" s="27"/>
      <c r="C41" s="27"/>
      <c r="D41" s="27"/>
      <c r="E41" s="27"/>
      <c r="F41" s="27"/>
      <c r="G41" s="27"/>
      <c r="H41" s="27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.75" customHeight="1">
      <c r="A42" s="21"/>
      <c r="B42" s="59" t="s">
        <v>78</v>
      </c>
      <c r="C42" s="50"/>
      <c r="D42" s="50"/>
      <c r="E42" s="50"/>
      <c r="F42" s="50"/>
      <c r="G42" s="50"/>
      <c r="H42" s="60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customHeight="1">
      <c r="A43" s="21"/>
      <c r="B43" s="37" t="s">
        <v>79</v>
      </c>
      <c r="C43" s="37" t="s">
        <v>77</v>
      </c>
      <c r="D43" s="37" t="s">
        <v>65</v>
      </c>
      <c r="E43" s="37" t="s">
        <v>80</v>
      </c>
      <c r="F43" s="37" t="s">
        <v>57</v>
      </c>
      <c r="G43" s="61" t="s">
        <v>81</v>
      </c>
      <c r="H43" s="37" t="s">
        <v>82</v>
      </c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.75" customHeight="1">
      <c r="A44" s="21"/>
      <c r="B44" s="37"/>
      <c r="C44" s="37"/>
      <c r="D44" s="37"/>
      <c r="E44" s="73"/>
      <c r="F44" s="37"/>
      <c r="G44" s="57">
        <f t="shared" ref="G44:G45" si="0">H44-B44</f>
        <v>0</v>
      </c>
      <c r="H44" s="37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.75" customHeight="1">
      <c r="A45" s="21"/>
      <c r="B45" s="37"/>
      <c r="C45" s="37"/>
      <c r="D45" s="37"/>
      <c r="E45" s="73"/>
      <c r="F45" s="37"/>
      <c r="G45" s="57">
        <f t="shared" si="0"/>
        <v>0</v>
      </c>
      <c r="H45" s="37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customHeight="1">
      <c r="A48" s="21"/>
      <c r="B48" s="181" t="s">
        <v>83</v>
      </c>
      <c r="C48" s="182"/>
      <c r="D48" s="74">
        <f>SUM(D44:D47)</f>
        <v>0</v>
      </c>
      <c r="E48" s="57" t="s">
        <v>84</v>
      </c>
      <c r="F48" s="57">
        <f>SUM(F44:F47)</f>
        <v>0</v>
      </c>
      <c r="G48" s="27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customHeight="1">
      <c r="A49" s="21"/>
      <c r="B49" s="27"/>
      <c r="C49" s="27"/>
      <c r="D49" s="27"/>
      <c r="E49" s="27"/>
      <c r="F49" s="27"/>
      <c r="G49" s="27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customHeight="1">
      <c r="A50" s="21"/>
      <c r="B50" s="59" t="s">
        <v>85</v>
      </c>
      <c r="C50" s="50"/>
      <c r="D50" s="50"/>
      <c r="E50" s="50"/>
      <c r="F50" s="50"/>
      <c r="G50" s="50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customHeight="1">
      <c r="A51" s="21"/>
      <c r="B51" s="75" t="s">
        <v>86</v>
      </c>
      <c r="C51" s="76" t="s">
        <v>77</v>
      </c>
      <c r="D51" s="76" t="s">
        <v>87</v>
      </c>
      <c r="E51" s="76" t="s">
        <v>65</v>
      </c>
      <c r="F51" s="171" t="s">
        <v>80</v>
      </c>
      <c r="G51" s="172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.75" customHeight="1">
      <c r="A52" s="21"/>
      <c r="B52" s="173" t="s">
        <v>88</v>
      </c>
      <c r="C52" s="168"/>
      <c r="D52" s="169"/>
      <c r="E52" s="49"/>
      <c r="F52" s="57" t="s">
        <v>89</v>
      </c>
      <c r="G52" s="77" t="s">
        <v>90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.75" customHeight="1">
      <c r="A53" s="21"/>
      <c r="B53" s="78">
        <v>45326</v>
      </c>
      <c r="C53" s="57" t="s">
        <v>91</v>
      </c>
      <c r="D53" s="57" t="s">
        <v>92</v>
      </c>
      <c r="E53" s="57">
        <v>500000</v>
      </c>
      <c r="F53" s="79" t="s">
        <v>93</v>
      </c>
      <c r="G53" s="77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.75" customHeight="1">
      <c r="A54" s="21"/>
      <c r="B54" s="78">
        <v>45333</v>
      </c>
      <c r="C54" s="57" t="s">
        <v>94</v>
      </c>
      <c r="D54" s="57" t="s">
        <v>95</v>
      </c>
      <c r="E54" s="57">
        <v>300000</v>
      </c>
      <c r="F54" s="79" t="s">
        <v>93</v>
      </c>
      <c r="G54" s="77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.75" customHeight="1">
      <c r="A55" s="21"/>
      <c r="B55" s="78">
        <v>45346</v>
      </c>
      <c r="C55" s="57" t="s">
        <v>96</v>
      </c>
      <c r="D55" s="57" t="s">
        <v>97</v>
      </c>
      <c r="E55" s="57">
        <v>100000</v>
      </c>
      <c r="F55" s="79" t="s">
        <v>93</v>
      </c>
      <c r="G55" s="77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.75" customHeight="1">
      <c r="A56" s="21"/>
      <c r="B56" s="78">
        <v>45349</v>
      </c>
      <c r="C56" s="57" t="s">
        <v>98</v>
      </c>
      <c r="D56" s="57" t="s">
        <v>99</v>
      </c>
      <c r="E56" s="57">
        <v>120000</v>
      </c>
      <c r="F56" s="79" t="s">
        <v>93</v>
      </c>
      <c r="G56" s="77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6">
    <mergeCell ref="I13:J13"/>
    <mergeCell ref="B25:B39"/>
    <mergeCell ref="B40:D40"/>
    <mergeCell ref="B48:C48"/>
    <mergeCell ref="F51:G51"/>
    <mergeCell ref="B52:D52"/>
    <mergeCell ref="C10:D10"/>
    <mergeCell ref="C13:D13"/>
    <mergeCell ref="E13:F13"/>
    <mergeCell ref="P2:R2"/>
    <mergeCell ref="B4:C4"/>
    <mergeCell ref="E4:I4"/>
    <mergeCell ref="E7:I7"/>
    <mergeCell ref="B10:B11"/>
    <mergeCell ref="E10:G10"/>
    <mergeCell ref="H10:J10"/>
  </mergeCells>
  <phoneticPr fontId="13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/>
  </sheetViews>
  <sheetFormatPr defaultColWidth="12.6640625" defaultRowHeight="15" customHeight="1"/>
  <cols>
    <col min="1" max="1" width="2.33203125" customWidth="1"/>
    <col min="2" max="10" width="8.77734375" customWidth="1"/>
    <col min="11" max="26" width="8.33203125" customWidth="1"/>
  </cols>
  <sheetData>
    <row r="1" spans="1:26" ht="15.7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.75" customHeight="1">
      <c r="A2" s="21"/>
      <c r="B2" s="22"/>
      <c r="C2" s="22"/>
      <c r="D2" s="23"/>
      <c r="E2" s="24" t="s">
        <v>51</v>
      </c>
      <c r="F2" s="25" t="s">
        <v>52</v>
      </c>
      <c r="G2" s="26" t="s">
        <v>53</v>
      </c>
      <c r="H2" s="27"/>
      <c r="I2" s="27"/>
      <c r="J2" s="27"/>
      <c r="K2" s="27"/>
      <c r="L2" s="21"/>
      <c r="M2" s="21"/>
      <c r="N2" s="21"/>
      <c r="O2" s="21"/>
      <c r="P2" s="156" t="s">
        <v>54</v>
      </c>
      <c r="Q2" s="153"/>
      <c r="R2" s="140"/>
      <c r="S2" s="21"/>
      <c r="T2" s="21"/>
      <c r="U2" s="21"/>
      <c r="V2" s="21"/>
      <c r="W2" s="21"/>
      <c r="X2" s="21"/>
      <c r="Y2" s="21"/>
      <c r="Z2" s="21"/>
    </row>
    <row r="3" spans="1:26" ht="15.75" customHeight="1">
      <c r="A3" s="21"/>
      <c r="B3" s="27"/>
      <c r="C3" s="27"/>
      <c r="D3" s="27"/>
      <c r="E3" s="28"/>
      <c r="F3" s="28"/>
      <c r="G3" s="28"/>
      <c r="H3" s="28"/>
      <c r="I3" s="28"/>
      <c r="J3" s="27"/>
      <c r="K3" s="27"/>
      <c r="L3" s="21"/>
      <c r="M3" s="21"/>
      <c r="N3" s="21"/>
      <c r="O3" s="21"/>
      <c r="P3" s="29"/>
      <c r="Q3" s="29"/>
      <c r="R3" s="29"/>
      <c r="S3" s="21"/>
      <c r="T3" s="21"/>
      <c r="U3" s="21"/>
      <c r="V3" s="21"/>
      <c r="W3" s="21"/>
      <c r="X3" s="21"/>
      <c r="Y3" s="21"/>
      <c r="Z3" s="21"/>
    </row>
    <row r="4" spans="1:26" ht="15.75" customHeight="1">
      <c r="A4" s="21"/>
      <c r="B4" s="157" t="s">
        <v>55</v>
      </c>
      <c r="C4" s="158"/>
      <c r="D4" s="30"/>
      <c r="E4" s="159" t="s">
        <v>38</v>
      </c>
      <c r="F4" s="160"/>
      <c r="G4" s="160"/>
      <c r="H4" s="160"/>
      <c r="I4" s="161"/>
      <c r="J4" s="27"/>
      <c r="K4" s="27"/>
      <c r="L4" s="21"/>
      <c r="M4" s="21"/>
      <c r="N4" s="21"/>
      <c r="O4" s="21"/>
      <c r="P4" s="29"/>
      <c r="Q4" s="29"/>
      <c r="R4" s="29"/>
      <c r="S4" s="21"/>
      <c r="T4" s="21"/>
      <c r="U4" s="21"/>
      <c r="V4" s="21"/>
      <c r="W4" s="21"/>
      <c r="X4" s="21"/>
      <c r="Y4" s="21"/>
      <c r="Z4" s="21"/>
    </row>
    <row r="5" spans="1:26" ht="15.75" customHeight="1">
      <c r="A5" s="21"/>
      <c r="B5" s="31" t="s">
        <v>56</v>
      </c>
      <c r="C5" s="31">
        <f>C13</f>
        <v>0</v>
      </c>
      <c r="D5" s="30"/>
      <c r="E5" s="32"/>
      <c r="F5" s="33"/>
      <c r="G5" s="33"/>
      <c r="H5" s="34"/>
      <c r="I5" s="34"/>
      <c r="J5" s="27"/>
      <c r="K5" s="27"/>
      <c r="L5" s="21"/>
      <c r="M5" s="21"/>
      <c r="N5" s="21"/>
      <c r="O5" s="21"/>
      <c r="P5" s="29"/>
      <c r="Q5" s="29"/>
      <c r="R5" s="29"/>
      <c r="S5" s="21"/>
      <c r="T5" s="21"/>
      <c r="U5" s="21"/>
      <c r="V5" s="21"/>
      <c r="W5" s="21"/>
      <c r="X5" s="21"/>
      <c r="Y5" s="21"/>
      <c r="Z5" s="21"/>
    </row>
    <row r="6" spans="1:26" ht="15.75" customHeight="1">
      <c r="A6" s="21"/>
      <c r="B6" s="35" t="s">
        <v>32</v>
      </c>
      <c r="C6" s="35">
        <f>E13</f>
        <v>0</v>
      </c>
      <c r="D6" s="30"/>
      <c r="E6" s="36"/>
      <c r="F6" s="37"/>
      <c r="G6" s="38"/>
      <c r="H6" s="39"/>
      <c r="I6" s="39"/>
      <c r="J6" s="27"/>
      <c r="K6" s="27"/>
      <c r="L6" s="21"/>
      <c r="M6" s="21"/>
      <c r="N6" s="21"/>
      <c r="O6" s="21"/>
      <c r="P6" s="29"/>
      <c r="Q6" s="29"/>
      <c r="R6" s="29"/>
      <c r="S6" s="21"/>
      <c r="T6" s="21"/>
      <c r="U6" s="21"/>
      <c r="V6" s="21"/>
      <c r="W6" s="21"/>
      <c r="X6" s="21"/>
      <c r="Y6" s="21"/>
      <c r="Z6" s="21"/>
    </row>
    <row r="7" spans="1:26" ht="15.75" customHeight="1">
      <c r="A7" s="21"/>
      <c r="B7" s="40" t="s">
        <v>34</v>
      </c>
      <c r="C7" s="40">
        <f>H13+I13</f>
        <v>0</v>
      </c>
      <c r="D7" s="30"/>
      <c r="E7" s="162"/>
      <c r="F7" s="163"/>
      <c r="G7" s="163"/>
      <c r="H7" s="163"/>
      <c r="I7" s="164"/>
      <c r="J7" s="27"/>
      <c r="K7" s="27"/>
      <c r="L7" s="21"/>
      <c r="M7" s="21"/>
      <c r="N7" s="21"/>
      <c r="O7" s="21"/>
      <c r="P7" s="29"/>
      <c r="Q7" s="29"/>
      <c r="R7" s="29"/>
      <c r="S7" s="21"/>
      <c r="T7" s="21"/>
      <c r="U7" s="21"/>
      <c r="V7" s="21"/>
      <c r="W7" s="21"/>
      <c r="X7" s="21"/>
      <c r="Y7" s="21"/>
      <c r="Z7" s="21"/>
    </row>
    <row r="8" spans="1:26" ht="15.75" customHeight="1">
      <c r="A8" s="21"/>
      <c r="B8" s="41" t="s">
        <v>57</v>
      </c>
      <c r="C8" s="41">
        <f>C5+C6-C7-E7</f>
        <v>0</v>
      </c>
      <c r="D8" s="27"/>
      <c r="E8" s="27"/>
      <c r="F8" s="27"/>
      <c r="G8" s="27"/>
      <c r="H8" s="27"/>
      <c r="I8" s="27"/>
      <c r="J8" s="27"/>
      <c r="K8" s="27"/>
      <c r="L8" s="21"/>
      <c r="M8" s="21"/>
      <c r="N8" s="21"/>
      <c r="O8" s="21"/>
      <c r="P8" s="29"/>
      <c r="Q8" s="29"/>
      <c r="R8" s="29"/>
      <c r="S8" s="21"/>
      <c r="T8" s="21"/>
      <c r="U8" s="21"/>
      <c r="V8" s="21"/>
      <c r="W8" s="21"/>
      <c r="X8" s="21"/>
      <c r="Y8" s="21"/>
      <c r="Z8" s="21"/>
    </row>
    <row r="9" spans="1:26" ht="15.75" customHeight="1">
      <c r="A9" s="21"/>
      <c r="B9" s="42"/>
      <c r="C9" s="27"/>
      <c r="D9" s="27"/>
      <c r="E9" s="42"/>
      <c r="F9" s="42"/>
      <c r="G9" s="42"/>
      <c r="H9" s="42"/>
      <c r="I9" s="42"/>
      <c r="J9" s="42"/>
      <c r="K9" s="27"/>
      <c r="L9" s="21"/>
      <c r="M9" s="21"/>
      <c r="N9" s="21"/>
      <c r="O9" s="21"/>
      <c r="P9" s="43"/>
      <c r="Q9" s="29"/>
      <c r="R9" s="29"/>
      <c r="S9" s="21"/>
      <c r="T9" s="21"/>
      <c r="U9" s="21"/>
      <c r="V9" s="21"/>
      <c r="W9" s="21"/>
      <c r="X9" s="21"/>
      <c r="Y9" s="21"/>
      <c r="Z9" s="21"/>
    </row>
    <row r="10" spans="1:26" ht="15.75" customHeight="1">
      <c r="A10" s="21"/>
      <c r="B10" s="165" t="s">
        <v>30</v>
      </c>
      <c r="C10" s="174" t="s">
        <v>56</v>
      </c>
      <c r="D10" s="175"/>
      <c r="E10" s="167" t="s">
        <v>32</v>
      </c>
      <c r="F10" s="168"/>
      <c r="G10" s="169"/>
      <c r="H10" s="170" t="s">
        <v>34</v>
      </c>
      <c r="I10" s="168"/>
      <c r="J10" s="169"/>
      <c r="K10" s="27"/>
      <c r="L10" s="21"/>
      <c r="M10" s="21"/>
      <c r="N10" s="21"/>
      <c r="O10" s="21"/>
      <c r="P10" s="29"/>
      <c r="Q10" s="29"/>
      <c r="R10" s="29"/>
      <c r="S10" s="21"/>
      <c r="T10" s="21"/>
      <c r="U10" s="21"/>
      <c r="V10" s="21"/>
      <c r="W10" s="21"/>
      <c r="X10" s="21"/>
      <c r="Y10" s="21"/>
      <c r="Z10" s="21"/>
    </row>
    <row r="11" spans="1:26" ht="15.75" customHeight="1">
      <c r="A11" s="21"/>
      <c r="B11" s="166"/>
      <c r="C11" s="45" t="s">
        <v>58</v>
      </c>
      <c r="D11" s="45" t="s">
        <v>59</v>
      </c>
      <c r="E11" s="46" t="s">
        <v>60</v>
      </c>
      <c r="F11" s="46" t="s">
        <v>61</v>
      </c>
      <c r="G11" s="46" t="s">
        <v>62</v>
      </c>
      <c r="H11" s="47" t="s">
        <v>35</v>
      </c>
      <c r="I11" s="48" t="s">
        <v>63</v>
      </c>
      <c r="J11" s="49" t="s">
        <v>64</v>
      </c>
      <c r="K11" s="27"/>
      <c r="L11" s="50"/>
      <c r="M11" s="50"/>
      <c r="N11" s="50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5.75" customHeight="1">
      <c r="A12" s="21"/>
      <c r="B12" s="51" t="s">
        <v>65</v>
      </c>
      <c r="C12" s="52"/>
      <c r="D12" s="52"/>
      <c r="E12" s="53"/>
      <c r="F12" s="53"/>
      <c r="G12" s="53"/>
      <c r="H12" s="54"/>
      <c r="I12" s="55"/>
      <c r="J12" s="56"/>
      <c r="K12" s="27"/>
      <c r="L12" s="50"/>
      <c r="M12" s="50"/>
      <c r="N12" s="50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5.75" customHeight="1">
      <c r="A13" s="21"/>
      <c r="B13" s="57" t="s">
        <v>66</v>
      </c>
      <c r="C13" s="174"/>
      <c r="D13" s="175"/>
      <c r="E13" s="167"/>
      <c r="F13" s="169"/>
      <c r="G13" s="58"/>
      <c r="H13" s="40"/>
      <c r="I13" s="176"/>
      <c r="J13" s="175"/>
      <c r="K13" s="27"/>
      <c r="L13" s="27"/>
      <c r="M13" s="27"/>
      <c r="N13" s="27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5.75" customHeight="1">
      <c r="A14" s="21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.75" customHeight="1">
      <c r="A15" s="21"/>
      <c r="B15" s="59" t="s">
        <v>67</v>
      </c>
      <c r="C15" s="60"/>
      <c r="D15" s="60"/>
      <c r="E15" s="60"/>
      <c r="F15" s="50"/>
      <c r="G15" s="50"/>
      <c r="H15" s="50"/>
      <c r="I15" s="50"/>
      <c r="J15" s="50"/>
      <c r="K15" s="50"/>
      <c r="L15" s="50"/>
      <c r="M15" s="50"/>
      <c r="N15" s="50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.75" customHeight="1">
      <c r="A16" s="21"/>
      <c r="B16" s="61" t="s">
        <v>68</v>
      </c>
      <c r="C16" s="44" t="s">
        <v>69</v>
      </c>
      <c r="D16" s="62" t="s">
        <v>70</v>
      </c>
      <c r="E16" s="49" t="s">
        <v>66</v>
      </c>
      <c r="F16" s="27"/>
      <c r="G16" s="27"/>
      <c r="H16" s="27"/>
      <c r="I16" s="27"/>
      <c r="J16" s="27"/>
      <c r="K16" s="27"/>
      <c r="L16" s="27"/>
      <c r="M16" s="27"/>
      <c r="N16" s="27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customHeight="1">
      <c r="A17" s="21"/>
      <c r="B17" s="63" t="s">
        <v>71</v>
      </c>
      <c r="C17" s="64"/>
      <c r="D17" s="65"/>
      <c r="E17" s="49"/>
      <c r="F17" s="27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.75" customHeight="1">
      <c r="A18" s="21"/>
      <c r="B18" s="66" t="s">
        <v>72</v>
      </c>
      <c r="C18" s="64"/>
      <c r="D18" s="65"/>
      <c r="E18" s="49"/>
      <c r="F18" s="27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customHeight="1">
      <c r="A19" s="21"/>
      <c r="B19" s="66" t="s">
        <v>73</v>
      </c>
      <c r="C19" s="64"/>
      <c r="D19" s="65"/>
      <c r="E19" s="49"/>
      <c r="F19" s="27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customHeight="1">
      <c r="A20" s="21"/>
      <c r="B20" s="66" t="s">
        <v>74</v>
      </c>
      <c r="C20" s="67"/>
      <c r="D20" s="68"/>
      <c r="E20" s="49"/>
      <c r="F20" s="27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.75" customHeight="1">
      <c r="A21" s="21"/>
      <c r="B21" s="69" t="s">
        <v>66</v>
      </c>
      <c r="C21" s="57"/>
      <c r="D21" s="70"/>
      <c r="E21" s="49"/>
      <c r="F21" s="27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customHeight="1">
      <c r="A22" s="21"/>
      <c r="B22" s="27"/>
      <c r="C22" s="27"/>
      <c r="D22" s="27"/>
      <c r="E22" s="27"/>
      <c r="F22" s="27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75" customHeight="1">
      <c r="A23" s="21"/>
      <c r="B23" s="59" t="s">
        <v>75</v>
      </c>
      <c r="C23" s="50"/>
      <c r="D23" s="50"/>
      <c r="E23" s="50"/>
      <c r="F23" s="50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.75" customHeight="1">
      <c r="A24" s="21"/>
      <c r="B24" s="37" t="s">
        <v>30</v>
      </c>
      <c r="C24" s="37" t="s">
        <v>76</v>
      </c>
      <c r="D24" s="37" t="s">
        <v>77</v>
      </c>
      <c r="E24" s="37" t="s">
        <v>34</v>
      </c>
      <c r="F24" s="27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customHeight="1">
      <c r="A25" s="21"/>
      <c r="B25" s="177" t="s">
        <v>35</v>
      </c>
      <c r="C25" s="37"/>
      <c r="D25" s="37"/>
      <c r="E25" s="37"/>
      <c r="F25" s="27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.75" customHeight="1">
      <c r="A26" s="21"/>
      <c r="B26" s="178"/>
      <c r="C26" s="37"/>
      <c r="D26" s="37"/>
      <c r="E26" s="37"/>
      <c r="F26" s="27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.75" customHeight="1">
      <c r="A27" s="21"/>
      <c r="B27" s="178"/>
      <c r="C27" s="37"/>
      <c r="D27" s="37"/>
      <c r="E27" s="37"/>
      <c r="F27" s="27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.75" customHeight="1">
      <c r="A28" s="21"/>
      <c r="B28" s="178"/>
      <c r="C28" s="71"/>
      <c r="D28" s="71"/>
      <c r="E28" s="7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customHeight="1">
      <c r="A29" s="21"/>
      <c r="B29" s="178"/>
      <c r="C29" s="71"/>
      <c r="D29" s="71"/>
      <c r="E29" s="71"/>
      <c r="F29" s="27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customHeight="1">
      <c r="A30" s="21"/>
      <c r="B30" s="178"/>
      <c r="C30" s="71"/>
      <c r="D30" s="71"/>
      <c r="E30" s="71"/>
      <c r="F30" s="27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5.75" customHeight="1">
      <c r="A31" s="21"/>
      <c r="B31" s="178"/>
      <c r="C31" s="37"/>
      <c r="D31" s="37"/>
      <c r="E31" s="37"/>
      <c r="F31" s="27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.75" customHeight="1">
      <c r="A32" s="21"/>
      <c r="B32" s="178"/>
      <c r="C32" s="37"/>
      <c r="D32" s="37"/>
      <c r="E32" s="37"/>
      <c r="F32" s="27"/>
      <c r="G32" s="21"/>
      <c r="H32" s="27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.75" customHeight="1">
      <c r="A33" s="21"/>
      <c r="B33" s="178"/>
      <c r="C33" s="37"/>
      <c r="D33" s="37"/>
      <c r="E33" s="37"/>
      <c r="F33" s="27"/>
      <c r="G33" s="27"/>
      <c r="H33" s="27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.75" customHeight="1">
      <c r="A34" s="21"/>
      <c r="B34" s="178"/>
      <c r="C34" s="37"/>
      <c r="D34" s="37"/>
      <c r="E34" s="37"/>
      <c r="F34" s="27"/>
      <c r="G34" s="27"/>
      <c r="H34" s="27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5.75" customHeight="1">
      <c r="A35" s="21"/>
      <c r="B35" s="178"/>
      <c r="C35" s="37"/>
      <c r="D35" s="37"/>
      <c r="E35" s="37"/>
      <c r="F35" s="27"/>
      <c r="G35" s="27"/>
      <c r="H35" s="27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.75" customHeight="1">
      <c r="A36" s="21"/>
      <c r="B36" s="178"/>
      <c r="C36" s="37"/>
      <c r="D36" s="37"/>
      <c r="E36" s="37"/>
      <c r="F36" s="27"/>
      <c r="G36" s="27"/>
      <c r="H36" s="27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.75" customHeight="1">
      <c r="A37" s="21"/>
      <c r="B37" s="178"/>
      <c r="C37" s="37"/>
      <c r="D37" s="37"/>
      <c r="E37" s="37"/>
      <c r="F37" s="27"/>
      <c r="G37" s="27"/>
      <c r="H37" s="27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.75" customHeight="1">
      <c r="A38" s="21"/>
      <c r="B38" s="178"/>
      <c r="C38" s="37"/>
      <c r="D38" s="37"/>
      <c r="E38" s="37"/>
      <c r="F38" s="27"/>
      <c r="G38" s="27"/>
      <c r="H38" s="27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.75" customHeight="1">
      <c r="A39" s="21"/>
      <c r="B39" s="178"/>
      <c r="C39" s="37"/>
      <c r="D39" s="37"/>
      <c r="E39" s="37"/>
      <c r="F39" s="27"/>
      <c r="G39" s="27"/>
      <c r="H39" s="27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.75" customHeight="1">
      <c r="A40" s="21"/>
      <c r="B40" s="179" t="s">
        <v>66</v>
      </c>
      <c r="C40" s="180"/>
      <c r="D40" s="175"/>
      <c r="E40" s="72">
        <f>SUM(E25:E39)</f>
        <v>0</v>
      </c>
      <c r="F40" s="27"/>
      <c r="G40" s="27"/>
      <c r="H40" s="27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.75" customHeight="1">
      <c r="A41" s="21"/>
      <c r="B41" s="27"/>
      <c r="C41" s="27"/>
      <c r="D41" s="27"/>
      <c r="E41" s="27"/>
      <c r="F41" s="27"/>
      <c r="G41" s="27"/>
      <c r="H41" s="27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.75" customHeight="1">
      <c r="A42" s="21"/>
      <c r="B42" s="59" t="s">
        <v>78</v>
      </c>
      <c r="C42" s="50"/>
      <c r="D42" s="50"/>
      <c r="E42" s="50"/>
      <c r="F42" s="50"/>
      <c r="G42" s="50"/>
      <c r="H42" s="60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customHeight="1">
      <c r="A43" s="21"/>
      <c r="B43" s="37" t="s">
        <v>79</v>
      </c>
      <c r="C43" s="37" t="s">
        <v>77</v>
      </c>
      <c r="D43" s="37" t="s">
        <v>65</v>
      </c>
      <c r="E43" s="37" t="s">
        <v>80</v>
      </c>
      <c r="F43" s="37" t="s">
        <v>57</v>
      </c>
      <c r="G43" s="61" t="s">
        <v>81</v>
      </c>
      <c r="H43" s="37" t="s">
        <v>82</v>
      </c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.75" customHeight="1">
      <c r="A44" s="21"/>
      <c r="B44" s="37"/>
      <c r="C44" s="37"/>
      <c r="D44" s="37"/>
      <c r="E44" s="73"/>
      <c r="F44" s="37"/>
      <c r="G44" s="57">
        <f t="shared" ref="G44:G45" si="0">H44-B44</f>
        <v>0</v>
      </c>
      <c r="H44" s="37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.75" customHeight="1">
      <c r="A45" s="21"/>
      <c r="B45" s="37"/>
      <c r="C45" s="37"/>
      <c r="D45" s="37"/>
      <c r="E45" s="73"/>
      <c r="F45" s="37"/>
      <c r="G45" s="57">
        <f t="shared" si="0"/>
        <v>0</v>
      </c>
      <c r="H45" s="37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customHeight="1">
      <c r="A48" s="21"/>
      <c r="B48" s="181" t="s">
        <v>83</v>
      </c>
      <c r="C48" s="182"/>
      <c r="D48" s="74">
        <f>SUM(D44:D47)</f>
        <v>0</v>
      </c>
      <c r="E48" s="57" t="s">
        <v>84</v>
      </c>
      <c r="F48" s="57">
        <f>SUM(F44:F47)</f>
        <v>0</v>
      </c>
      <c r="G48" s="27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customHeight="1">
      <c r="A49" s="21"/>
      <c r="B49" s="27"/>
      <c r="C49" s="27"/>
      <c r="D49" s="27"/>
      <c r="E49" s="27"/>
      <c r="F49" s="27"/>
      <c r="G49" s="27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customHeight="1">
      <c r="A50" s="21"/>
      <c r="B50" s="59" t="s">
        <v>85</v>
      </c>
      <c r="C50" s="50"/>
      <c r="D50" s="50"/>
      <c r="E50" s="50"/>
      <c r="F50" s="50"/>
      <c r="G50" s="50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customHeight="1">
      <c r="A51" s="21"/>
      <c r="B51" s="75" t="s">
        <v>86</v>
      </c>
      <c r="C51" s="76" t="s">
        <v>77</v>
      </c>
      <c r="D51" s="76" t="s">
        <v>87</v>
      </c>
      <c r="E51" s="76" t="s">
        <v>65</v>
      </c>
      <c r="F51" s="171" t="s">
        <v>80</v>
      </c>
      <c r="G51" s="172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.75" customHeight="1">
      <c r="A52" s="21"/>
      <c r="B52" s="173" t="s">
        <v>88</v>
      </c>
      <c r="C52" s="168"/>
      <c r="D52" s="169"/>
      <c r="E52" s="49"/>
      <c r="F52" s="57" t="s">
        <v>89</v>
      </c>
      <c r="G52" s="77" t="s">
        <v>90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.75" customHeight="1">
      <c r="A53" s="21"/>
      <c r="B53" s="78">
        <v>45326</v>
      </c>
      <c r="C53" s="57" t="s">
        <v>91</v>
      </c>
      <c r="D53" s="57" t="s">
        <v>92</v>
      </c>
      <c r="E53" s="57">
        <v>500000</v>
      </c>
      <c r="F53" s="79" t="s">
        <v>93</v>
      </c>
      <c r="G53" s="77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.75" customHeight="1">
      <c r="A54" s="21"/>
      <c r="B54" s="78">
        <v>45333</v>
      </c>
      <c r="C54" s="57" t="s">
        <v>94</v>
      </c>
      <c r="D54" s="57" t="s">
        <v>95</v>
      </c>
      <c r="E54" s="57">
        <v>300000</v>
      </c>
      <c r="F54" s="79" t="s">
        <v>93</v>
      </c>
      <c r="G54" s="77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.75" customHeight="1">
      <c r="A55" s="21"/>
      <c r="B55" s="78">
        <v>45346</v>
      </c>
      <c r="C55" s="57" t="s">
        <v>96</v>
      </c>
      <c r="D55" s="57" t="s">
        <v>97</v>
      </c>
      <c r="E55" s="57">
        <v>100000</v>
      </c>
      <c r="F55" s="79" t="s">
        <v>93</v>
      </c>
      <c r="G55" s="77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.75" customHeight="1">
      <c r="A56" s="21"/>
      <c r="B56" s="78">
        <v>45349</v>
      </c>
      <c r="C56" s="57" t="s">
        <v>98</v>
      </c>
      <c r="D56" s="57" t="s">
        <v>99</v>
      </c>
      <c r="E56" s="57">
        <v>120000</v>
      </c>
      <c r="F56" s="79" t="s">
        <v>93</v>
      </c>
      <c r="G56" s="77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6">
    <mergeCell ref="I13:J13"/>
    <mergeCell ref="B25:B39"/>
    <mergeCell ref="B40:D40"/>
    <mergeCell ref="B48:C48"/>
    <mergeCell ref="F51:G51"/>
    <mergeCell ref="B52:D52"/>
    <mergeCell ref="C10:D10"/>
    <mergeCell ref="C13:D13"/>
    <mergeCell ref="E13:F13"/>
    <mergeCell ref="P2:R2"/>
    <mergeCell ref="B4:C4"/>
    <mergeCell ref="E4:I4"/>
    <mergeCell ref="E7:I7"/>
    <mergeCell ref="B10:B11"/>
    <mergeCell ref="E10:G10"/>
    <mergeCell ref="H10:J10"/>
  </mergeCells>
  <phoneticPr fontId="13" type="noConversion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workbookViewId="0"/>
  </sheetViews>
  <sheetFormatPr defaultColWidth="12.6640625" defaultRowHeight="15" customHeight="1"/>
  <cols>
    <col min="1" max="1" width="2.33203125" customWidth="1"/>
    <col min="2" max="10" width="8.77734375" customWidth="1"/>
    <col min="11" max="26" width="8.33203125" customWidth="1"/>
  </cols>
  <sheetData>
    <row r="1" spans="1:26" ht="15.7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.75" customHeight="1">
      <c r="A2" s="21"/>
      <c r="B2" s="22"/>
      <c r="C2" s="22"/>
      <c r="D2" s="23"/>
      <c r="E2" s="24" t="s">
        <v>51</v>
      </c>
      <c r="F2" s="25" t="s">
        <v>52</v>
      </c>
      <c r="G2" s="26" t="s">
        <v>53</v>
      </c>
      <c r="H2" s="27"/>
      <c r="I2" s="27"/>
      <c r="J2" s="27"/>
      <c r="K2" s="27"/>
      <c r="L2" s="21"/>
      <c r="M2" s="21"/>
      <c r="N2" s="21"/>
      <c r="O2" s="21"/>
      <c r="P2" s="156" t="s">
        <v>54</v>
      </c>
      <c r="Q2" s="153"/>
      <c r="R2" s="140"/>
      <c r="S2" s="21"/>
      <c r="T2" s="21"/>
      <c r="U2" s="21"/>
      <c r="V2" s="21"/>
      <c r="W2" s="21"/>
      <c r="X2" s="21"/>
      <c r="Y2" s="21"/>
      <c r="Z2" s="21"/>
    </row>
    <row r="3" spans="1:26" ht="15.75" customHeight="1">
      <c r="A3" s="21"/>
      <c r="B3" s="27"/>
      <c r="C3" s="27"/>
      <c r="D3" s="27"/>
      <c r="E3" s="28"/>
      <c r="F3" s="28"/>
      <c r="G3" s="28"/>
      <c r="H3" s="28"/>
      <c r="I3" s="28"/>
      <c r="J3" s="27"/>
      <c r="K3" s="27"/>
      <c r="L3" s="21"/>
      <c r="M3" s="21"/>
      <c r="N3" s="21"/>
      <c r="O3" s="21"/>
      <c r="P3" s="29"/>
      <c r="Q3" s="29"/>
      <c r="R3" s="29"/>
      <c r="S3" s="21"/>
      <c r="T3" s="21"/>
      <c r="U3" s="21"/>
      <c r="V3" s="21"/>
      <c r="W3" s="21"/>
      <c r="X3" s="21"/>
      <c r="Y3" s="21"/>
      <c r="Z3" s="21"/>
    </row>
    <row r="4" spans="1:26" ht="15.75" customHeight="1">
      <c r="A4" s="21"/>
      <c r="B4" s="157" t="s">
        <v>55</v>
      </c>
      <c r="C4" s="158"/>
      <c r="D4" s="30"/>
      <c r="E4" s="159" t="s">
        <v>38</v>
      </c>
      <c r="F4" s="160"/>
      <c r="G4" s="160"/>
      <c r="H4" s="160"/>
      <c r="I4" s="161"/>
      <c r="J4" s="27"/>
      <c r="K4" s="27"/>
      <c r="L4" s="21"/>
      <c r="M4" s="21"/>
      <c r="N4" s="21"/>
      <c r="O4" s="21"/>
      <c r="P4" s="29"/>
      <c r="Q4" s="29"/>
      <c r="R4" s="29"/>
      <c r="S4" s="21"/>
      <c r="T4" s="21"/>
      <c r="U4" s="21"/>
      <c r="V4" s="21"/>
      <c r="W4" s="21"/>
      <c r="X4" s="21"/>
      <c r="Y4" s="21"/>
      <c r="Z4" s="21"/>
    </row>
    <row r="5" spans="1:26" ht="15.75" customHeight="1">
      <c r="A5" s="21"/>
      <c r="B5" s="31" t="s">
        <v>56</v>
      </c>
      <c r="C5" s="31">
        <f>C13</f>
        <v>0</v>
      </c>
      <c r="D5" s="30"/>
      <c r="E5" s="32"/>
      <c r="F5" s="33"/>
      <c r="G5" s="33"/>
      <c r="H5" s="34"/>
      <c r="I5" s="34"/>
      <c r="J5" s="27"/>
      <c r="K5" s="27"/>
      <c r="L5" s="21"/>
      <c r="M5" s="21"/>
      <c r="N5" s="21"/>
      <c r="O5" s="21"/>
      <c r="P5" s="29"/>
      <c r="Q5" s="29"/>
      <c r="R5" s="29"/>
      <c r="S5" s="21"/>
      <c r="T5" s="21"/>
      <c r="U5" s="21"/>
      <c r="V5" s="21"/>
      <c r="W5" s="21"/>
      <c r="X5" s="21"/>
      <c r="Y5" s="21"/>
      <c r="Z5" s="21"/>
    </row>
    <row r="6" spans="1:26" ht="15.75" customHeight="1">
      <c r="A6" s="21"/>
      <c r="B6" s="35" t="s">
        <v>32</v>
      </c>
      <c r="C6" s="35">
        <f>E13</f>
        <v>0</v>
      </c>
      <c r="D6" s="30"/>
      <c r="E6" s="36"/>
      <c r="F6" s="37"/>
      <c r="G6" s="38"/>
      <c r="H6" s="39"/>
      <c r="I6" s="39"/>
      <c r="J6" s="27"/>
      <c r="K6" s="27"/>
      <c r="L6" s="21"/>
      <c r="M6" s="21"/>
      <c r="N6" s="21"/>
      <c r="O6" s="21"/>
      <c r="P6" s="29"/>
      <c r="Q6" s="29"/>
      <c r="R6" s="29"/>
      <c r="S6" s="21"/>
      <c r="T6" s="21"/>
      <c r="U6" s="21"/>
      <c r="V6" s="21"/>
      <c r="W6" s="21"/>
      <c r="X6" s="21"/>
      <c r="Y6" s="21"/>
      <c r="Z6" s="21"/>
    </row>
    <row r="7" spans="1:26" ht="15.75" customHeight="1">
      <c r="A7" s="21"/>
      <c r="B7" s="40" t="s">
        <v>34</v>
      </c>
      <c r="C7" s="40">
        <f>H13+I13</f>
        <v>0</v>
      </c>
      <c r="D7" s="30"/>
      <c r="E7" s="162"/>
      <c r="F7" s="163"/>
      <c r="G7" s="163"/>
      <c r="H7" s="163"/>
      <c r="I7" s="164"/>
      <c r="J7" s="27"/>
      <c r="K7" s="27"/>
      <c r="L7" s="21"/>
      <c r="M7" s="21"/>
      <c r="N7" s="21"/>
      <c r="O7" s="21"/>
      <c r="P7" s="29"/>
      <c r="Q7" s="29"/>
      <c r="R7" s="29"/>
      <c r="S7" s="21"/>
      <c r="T7" s="21"/>
      <c r="U7" s="21"/>
      <c r="V7" s="21"/>
      <c r="W7" s="21"/>
      <c r="X7" s="21"/>
      <c r="Y7" s="21"/>
      <c r="Z7" s="21"/>
    </row>
    <row r="8" spans="1:26" ht="15.75" customHeight="1">
      <c r="A8" s="21"/>
      <c r="B8" s="41" t="s">
        <v>57</v>
      </c>
      <c r="C8" s="41">
        <f>C5+C6-C7-E7</f>
        <v>0</v>
      </c>
      <c r="D8" s="27"/>
      <c r="E8" s="27"/>
      <c r="F8" s="27"/>
      <c r="G8" s="27"/>
      <c r="H8" s="27"/>
      <c r="I8" s="27"/>
      <c r="J8" s="27"/>
      <c r="K8" s="27"/>
      <c r="L8" s="21"/>
      <c r="M8" s="21"/>
      <c r="N8" s="21"/>
      <c r="O8" s="21"/>
      <c r="P8" s="29"/>
      <c r="Q8" s="29"/>
      <c r="R8" s="29"/>
      <c r="S8" s="21"/>
      <c r="T8" s="21"/>
      <c r="U8" s="21"/>
      <c r="V8" s="21"/>
      <c r="W8" s="21"/>
      <c r="X8" s="21"/>
      <c r="Y8" s="21"/>
      <c r="Z8" s="21"/>
    </row>
    <row r="9" spans="1:26" ht="15.75" customHeight="1">
      <c r="A9" s="21"/>
      <c r="B9" s="42"/>
      <c r="C9" s="27"/>
      <c r="D9" s="27"/>
      <c r="E9" s="42"/>
      <c r="F9" s="42"/>
      <c r="G9" s="42"/>
      <c r="H9" s="42"/>
      <c r="I9" s="42"/>
      <c r="J9" s="42"/>
      <c r="K9" s="27"/>
      <c r="L9" s="21"/>
      <c r="M9" s="21"/>
      <c r="N9" s="21"/>
      <c r="O9" s="21"/>
      <c r="P9" s="43"/>
      <c r="Q9" s="29"/>
      <c r="R9" s="29"/>
      <c r="S9" s="21"/>
      <c r="T9" s="21"/>
      <c r="U9" s="21"/>
      <c r="V9" s="21"/>
      <c r="W9" s="21"/>
      <c r="X9" s="21"/>
      <c r="Y9" s="21"/>
      <c r="Z9" s="21"/>
    </row>
    <row r="10" spans="1:26" ht="15.75" customHeight="1">
      <c r="A10" s="21"/>
      <c r="B10" s="165" t="s">
        <v>30</v>
      </c>
      <c r="C10" s="174" t="s">
        <v>56</v>
      </c>
      <c r="D10" s="175"/>
      <c r="E10" s="167" t="s">
        <v>32</v>
      </c>
      <c r="F10" s="168"/>
      <c r="G10" s="169"/>
      <c r="H10" s="170" t="s">
        <v>34</v>
      </c>
      <c r="I10" s="168"/>
      <c r="J10" s="169"/>
      <c r="K10" s="27"/>
      <c r="L10" s="21"/>
      <c r="M10" s="21"/>
      <c r="N10" s="21"/>
      <c r="O10" s="21"/>
      <c r="P10" s="29"/>
      <c r="Q10" s="29"/>
      <c r="R10" s="29"/>
      <c r="S10" s="21"/>
      <c r="T10" s="21"/>
      <c r="U10" s="21"/>
      <c r="V10" s="21"/>
      <c r="W10" s="21"/>
      <c r="X10" s="21"/>
      <c r="Y10" s="21"/>
      <c r="Z10" s="21"/>
    </row>
    <row r="11" spans="1:26" ht="15.75" customHeight="1">
      <c r="A11" s="21"/>
      <c r="B11" s="166"/>
      <c r="C11" s="45" t="s">
        <v>58</v>
      </c>
      <c r="D11" s="45" t="s">
        <v>59</v>
      </c>
      <c r="E11" s="46" t="s">
        <v>60</v>
      </c>
      <c r="F11" s="46" t="s">
        <v>61</v>
      </c>
      <c r="G11" s="46" t="s">
        <v>62</v>
      </c>
      <c r="H11" s="47" t="s">
        <v>35</v>
      </c>
      <c r="I11" s="48" t="s">
        <v>63</v>
      </c>
      <c r="J11" s="49" t="s">
        <v>64</v>
      </c>
      <c r="K11" s="27"/>
      <c r="L11" s="50"/>
      <c r="M11" s="50"/>
      <c r="N11" s="50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5.75" customHeight="1">
      <c r="A12" s="21"/>
      <c r="B12" s="51" t="s">
        <v>65</v>
      </c>
      <c r="C12" s="52"/>
      <c r="D12" s="52"/>
      <c r="E12" s="53"/>
      <c r="F12" s="53"/>
      <c r="G12" s="53"/>
      <c r="H12" s="54"/>
      <c r="I12" s="55"/>
      <c r="J12" s="56"/>
      <c r="K12" s="27"/>
      <c r="L12" s="50"/>
      <c r="M12" s="50"/>
      <c r="N12" s="50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5.75" customHeight="1">
      <c r="A13" s="21"/>
      <c r="B13" s="57" t="s">
        <v>66</v>
      </c>
      <c r="C13" s="174"/>
      <c r="D13" s="175"/>
      <c r="E13" s="167"/>
      <c r="F13" s="169"/>
      <c r="G13" s="58"/>
      <c r="H13" s="40"/>
      <c r="I13" s="176"/>
      <c r="J13" s="175"/>
      <c r="K13" s="27"/>
      <c r="L13" s="27"/>
      <c r="M13" s="27"/>
      <c r="N13" s="27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5.75" customHeight="1">
      <c r="A14" s="21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.75" customHeight="1">
      <c r="A15" s="21"/>
      <c r="B15" s="59" t="s">
        <v>67</v>
      </c>
      <c r="C15" s="60"/>
      <c r="D15" s="60"/>
      <c r="E15" s="60"/>
      <c r="F15" s="50"/>
      <c r="G15" s="50"/>
      <c r="H15" s="50"/>
      <c r="I15" s="50"/>
      <c r="J15" s="50"/>
      <c r="K15" s="50"/>
      <c r="L15" s="50"/>
      <c r="M15" s="50"/>
      <c r="N15" s="50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.75" customHeight="1">
      <c r="A16" s="21"/>
      <c r="B16" s="61" t="s">
        <v>68</v>
      </c>
      <c r="C16" s="44" t="s">
        <v>69</v>
      </c>
      <c r="D16" s="62" t="s">
        <v>70</v>
      </c>
      <c r="E16" s="49" t="s">
        <v>66</v>
      </c>
      <c r="F16" s="27"/>
      <c r="G16" s="27"/>
      <c r="H16" s="27"/>
      <c r="I16" s="27"/>
      <c r="J16" s="27"/>
      <c r="K16" s="27"/>
      <c r="L16" s="27"/>
      <c r="M16" s="27"/>
      <c r="N16" s="27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customHeight="1">
      <c r="A17" s="21"/>
      <c r="B17" s="63" t="s">
        <v>71</v>
      </c>
      <c r="C17" s="64"/>
      <c r="D17" s="65"/>
      <c r="E17" s="49"/>
      <c r="F17" s="27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.75" customHeight="1">
      <c r="A18" s="21"/>
      <c r="B18" s="66" t="s">
        <v>72</v>
      </c>
      <c r="C18" s="64"/>
      <c r="D18" s="65"/>
      <c r="E18" s="49"/>
      <c r="F18" s="27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customHeight="1">
      <c r="A19" s="21"/>
      <c r="B19" s="66" t="s">
        <v>73</v>
      </c>
      <c r="C19" s="64"/>
      <c r="D19" s="65"/>
      <c r="E19" s="49"/>
      <c r="F19" s="27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customHeight="1">
      <c r="A20" s="21"/>
      <c r="B20" s="66" t="s">
        <v>74</v>
      </c>
      <c r="C20" s="67"/>
      <c r="D20" s="68"/>
      <c r="E20" s="49"/>
      <c r="F20" s="27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.75" customHeight="1">
      <c r="A21" s="21"/>
      <c r="B21" s="69" t="s">
        <v>66</v>
      </c>
      <c r="C21" s="57"/>
      <c r="D21" s="70"/>
      <c r="E21" s="49"/>
      <c r="F21" s="27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customHeight="1">
      <c r="A22" s="21"/>
      <c r="B22" s="27"/>
      <c r="C22" s="27"/>
      <c r="D22" s="27"/>
      <c r="E22" s="27"/>
      <c r="F22" s="27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75" customHeight="1">
      <c r="A23" s="21"/>
      <c r="B23" s="59" t="s">
        <v>75</v>
      </c>
      <c r="C23" s="50"/>
      <c r="D23" s="50"/>
      <c r="E23" s="50"/>
      <c r="F23" s="50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.75" customHeight="1">
      <c r="A24" s="21"/>
      <c r="B24" s="37" t="s">
        <v>30</v>
      </c>
      <c r="C24" s="37" t="s">
        <v>76</v>
      </c>
      <c r="D24" s="37" t="s">
        <v>77</v>
      </c>
      <c r="E24" s="37" t="s">
        <v>34</v>
      </c>
      <c r="F24" s="27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customHeight="1">
      <c r="A25" s="21"/>
      <c r="B25" s="177" t="s">
        <v>35</v>
      </c>
      <c r="C25" s="37"/>
      <c r="D25" s="37"/>
      <c r="E25" s="37"/>
      <c r="F25" s="27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.75" customHeight="1">
      <c r="A26" s="21"/>
      <c r="B26" s="178"/>
      <c r="C26" s="37"/>
      <c r="D26" s="37"/>
      <c r="E26" s="37"/>
      <c r="F26" s="27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.75" customHeight="1">
      <c r="A27" s="21"/>
      <c r="B27" s="178"/>
      <c r="C27" s="37"/>
      <c r="D27" s="37"/>
      <c r="E27" s="37"/>
      <c r="F27" s="27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.75" customHeight="1">
      <c r="A28" s="21"/>
      <c r="B28" s="178"/>
      <c r="C28" s="71"/>
      <c r="D28" s="71"/>
      <c r="E28" s="7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customHeight="1">
      <c r="A29" s="21"/>
      <c r="B29" s="178"/>
      <c r="C29" s="71"/>
      <c r="D29" s="71"/>
      <c r="E29" s="71"/>
      <c r="F29" s="27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customHeight="1">
      <c r="A30" s="21"/>
      <c r="B30" s="178"/>
      <c r="C30" s="71"/>
      <c r="D30" s="71"/>
      <c r="E30" s="71"/>
      <c r="F30" s="27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5.75" customHeight="1">
      <c r="A31" s="21"/>
      <c r="B31" s="178"/>
      <c r="C31" s="37"/>
      <c r="D31" s="37"/>
      <c r="E31" s="37"/>
      <c r="F31" s="27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.75" customHeight="1">
      <c r="A32" s="21"/>
      <c r="B32" s="178"/>
      <c r="C32" s="37"/>
      <c r="D32" s="37"/>
      <c r="E32" s="37"/>
      <c r="F32" s="27"/>
      <c r="G32" s="21"/>
      <c r="H32" s="27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.75" customHeight="1">
      <c r="A33" s="21"/>
      <c r="B33" s="178"/>
      <c r="C33" s="37"/>
      <c r="D33" s="37"/>
      <c r="E33" s="37"/>
      <c r="F33" s="27"/>
      <c r="G33" s="27"/>
      <c r="H33" s="27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.75" customHeight="1">
      <c r="A34" s="21"/>
      <c r="B34" s="178"/>
      <c r="C34" s="37"/>
      <c r="D34" s="37"/>
      <c r="E34" s="37"/>
      <c r="F34" s="27"/>
      <c r="G34" s="27"/>
      <c r="H34" s="27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5.75" customHeight="1">
      <c r="A35" s="21"/>
      <c r="B35" s="178"/>
      <c r="C35" s="37"/>
      <c r="D35" s="37"/>
      <c r="E35" s="37"/>
      <c r="F35" s="27"/>
      <c r="G35" s="27"/>
      <c r="H35" s="27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.75" customHeight="1">
      <c r="A36" s="21"/>
      <c r="B36" s="178"/>
      <c r="C36" s="37"/>
      <c r="D36" s="37"/>
      <c r="E36" s="37"/>
      <c r="F36" s="27"/>
      <c r="G36" s="27"/>
      <c r="H36" s="27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.75" customHeight="1">
      <c r="A37" s="21"/>
      <c r="B37" s="178"/>
      <c r="C37" s="37"/>
      <c r="D37" s="37"/>
      <c r="E37" s="37"/>
      <c r="F37" s="27"/>
      <c r="G37" s="27"/>
      <c r="H37" s="27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.75" customHeight="1">
      <c r="A38" s="21"/>
      <c r="B38" s="178"/>
      <c r="C38" s="37"/>
      <c r="D38" s="37"/>
      <c r="E38" s="37"/>
      <c r="F38" s="27"/>
      <c r="G38" s="27"/>
      <c r="H38" s="27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.75" customHeight="1">
      <c r="A39" s="21"/>
      <c r="B39" s="178"/>
      <c r="C39" s="37"/>
      <c r="D39" s="37"/>
      <c r="E39" s="37"/>
      <c r="F39" s="27"/>
      <c r="G39" s="27"/>
      <c r="H39" s="27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.75" customHeight="1">
      <c r="A40" s="21"/>
      <c r="B40" s="179" t="s">
        <v>66</v>
      </c>
      <c r="C40" s="180"/>
      <c r="D40" s="175"/>
      <c r="E40" s="72">
        <f>SUM(E25:E39)</f>
        <v>0</v>
      </c>
      <c r="F40" s="27"/>
      <c r="G40" s="27"/>
      <c r="H40" s="27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.75" customHeight="1">
      <c r="A41" s="21"/>
      <c r="B41" s="27"/>
      <c r="C41" s="27"/>
      <c r="D41" s="27"/>
      <c r="E41" s="27"/>
      <c r="F41" s="27"/>
      <c r="G41" s="27"/>
      <c r="H41" s="27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.75" customHeight="1">
      <c r="A42" s="21"/>
      <c r="B42" s="59" t="s">
        <v>78</v>
      </c>
      <c r="C42" s="50"/>
      <c r="D42" s="50"/>
      <c r="E42" s="50"/>
      <c r="F42" s="50"/>
      <c r="G42" s="50"/>
      <c r="H42" s="60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customHeight="1">
      <c r="A43" s="21"/>
      <c r="B43" s="37" t="s">
        <v>79</v>
      </c>
      <c r="C43" s="37" t="s">
        <v>77</v>
      </c>
      <c r="D43" s="37" t="s">
        <v>65</v>
      </c>
      <c r="E43" s="37" t="s">
        <v>80</v>
      </c>
      <c r="F43" s="37" t="s">
        <v>57</v>
      </c>
      <c r="G43" s="61" t="s">
        <v>81</v>
      </c>
      <c r="H43" s="37" t="s">
        <v>82</v>
      </c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.75" customHeight="1">
      <c r="A44" s="21"/>
      <c r="B44" s="37"/>
      <c r="C44" s="37"/>
      <c r="D44" s="37"/>
      <c r="E44" s="73"/>
      <c r="F44" s="37"/>
      <c r="G44" s="57">
        <f t="shared" ref="G44:G45" si="0">H44-B44</f>
        <v>0</v>
      </c>
      <c r="H44" s="37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.75" customHeight="1">
      <c r="A45" s="21"/>
      <c r="B45" s="37"/>
      <c r="C45" s="37"/>
      <c r="D45" s="37"/>
      <c r="E45" s="73"/>
      <c r="F45" s="37"/>
      <c r="G45" s="57">
        <f t="shared" si="0"/>
        <v>0</v>
      </c>
      <c r="H45" s="37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customHeight="1">
      <c r="A48" s="21"/>
      <c r="B48" s="181" t="s">
        <v>83</v>
      </c>
      <c r="C48" s="182"/>
      <c r="D48" s="74">
        <f>SUM(D44:D47)</f>
        <v>0</v>
      </c>
      <c r="E48" s="57" t="s">
        <v>84</v>
      </c>
      <c r="F48" s="57">
        <f>SUM(F44:F47)</f>
        <v>0</v>
      </c>
      <c r="G48" s="27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customHeight="1">
      <c r="A49" s="21"/>
      <c r="B49" s="27"/>
      <c r="C49" s="27"/>
      <c r="D49" s="27"/>
      <c r="E49" s="27"/>
      <c r="F49" s="27"/>
      <c r="G49" s="27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customHeight="1">
      <c r="A50" s="21"/>
      <c r="B50" s="59" t="s">
        <v>85</v>
      </c>
      <c r="C50" s="50"/>
      <c r="D50" s="50"/>
      <c r="E50" s="50"/>
      <c r="F50" s="50"/>
      <c r="G50" s="50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customHeight="1">
      <c r="A51" s="21"/>
      <c r="B51" s="75" t="s">
        <v>86</v>
      </c>
      <c r="C51" s="76" t="s">
        <v>77</v>
      </c>
      <c r="D51" s="76" t="s">
        <v>87</v>
      </c>
      <c r="E51" s="76" t="s">
        <v>65</v>
      </c>
      <c r="F51" s="171" t="s">
        <v>80</v>
      </c>
      <c r="G51" s="172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.75" customHeight="1">
      <c r="A52" s="21"/>
      <c r="B52" s="173" t="s">
        <v>88</v>
      </c>
      <c r="C52" s="168"/>
      <c r="D52" s="169"/>
      <c r="E52" s="49"/>
      <c r="F52" s="57" t="s">
        <v>89</v>
      </c>
      <c r="G52" s="77" t="s">
        <v>90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.75" customHeight="1">
      <c r="A53" s="21"/>
      <c r="B53" s="78">
        <v>45326</v>
      </c>
      <c r="C53" s="57" t="s">
        <v>91</v>
      </c>
      <c r="D53" s="57" t="s">
        <v>92</v>
      </c>
      <c r="E53" s="57">
        <v>500000</v>
      </c>
      <c r="F53" s="79" t="s">
        <v>93</v>
      </c>
      <c r="G53" s="77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.75" customHeight="1">
      <c r="A54" s="21"/>
      <c r="B54" s="78">
        <v>45333</v>
      </c>
      <c r="C54" s="57" t="s">
        <v>94</v>
      </c>
      <c r="D54" s="57" t="s">
        <v>95</v>
      </c>
      <c r="E54" s="57">
        <v>300000</v>
      </c>
      <c r="F54" s="79" t="s">
        <v>93</v>
      </c>
      <c r="G54" s="77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.75" customHeight="1">
      <c r="A55" s="21"/>
      <c r="B55" s="78">
        <v>45346</v>
      </c>
      <c r="C55" s="57" t="s">
        <v>96</v>
      </c>
      <c r="D55" s="57" t="s">
        <v>97</v>
      </c>
      <c r="E55" s="57">
        <v>100000</v>
      </c>
      <c r="F55" s="79" t="s">
        <v>93</v>
      </c>
      <c r="G55" s="77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.75" customHeight="1">
      <c r="A56" s="21"/>
      <c r="B56" s="78">
        <v>45349</v>
      </c>
      <c r="C56" s="57" t="s">
        <v>98</v>
      </c>
      <c r="D56" s="57" t="s">
        <v>99</v>
      </c>
      <c r="E56" s="57">
        <v>120000</v>
      </c>
      <c r="F56" s="79" t="s">
        <v>93</v>
      </c>
      <c r="G56" s="77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6">
    <mergeCell ref="I13:J13"/>
    <mergeCell ref="B25:B39"/>
    <mergeCell ref="B40:D40"/>
    <mergeCell ref="B48:C48"/>
    <mergeCell ref="F51:G51"/>
    <mergeCell ref="B52:D52"/>
    <mergeCell ref="C10:D10"/>
    <mergeCell ref="C13:D13"/>
    <mergeCell ref="E13:F13"/>
    <mergeCell ref="P2:R2"/>
    <mergeCell ref="B4:C4"/>
    <mergeCell ref="E4:I4"/>
    <mergeCell ref="E7:I7"/>
    <mergeCell ref="B10:B11"/>
    <mergeCell ref="E10:G10"/>
    <mergeCell ref="H10:J10"/>
  </mergeCells>
  <phoneticPr fontId="13" type="noConversion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workbookViewId="0"/>
  </sheetViews>
  <sheetFormatPr defaultColWidth="12.6640625" defaultRowHeight="15" customHeight="1"/>
  <cols>
    <col min="1" max="1" width="2.33203125" customWidth="1"/>
    <col min="2" max="10" width="8.77734375" customWidth="1"/>
    <col min="11" max="26" width="8.33203125" customWidth="1"/>
  </cols>
  <sheetData>
    <row r="1" spans="1:26" ht="15.7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.75" customHeight="1">
      <c r="A2" s="21"/>
      <c r="B2" s="22"/>
      <c r="C2" s="22"/>
      <c r="D2" s="23"/>
      <c r="E2" s="24" t="s">
        <v>51</v>
      </c>
      <c r="F2" s="25" t="s">
        <v>52</v>
      </c>
      <c r="G2" s="26" t="s">
        <v>53</v>
      </c>
      <c r="H2" s="27"/>
      <c r="I2" s="27"/>
      <c r="J2" s="27"/>
      <c r="K2" s="27"/>
      <c r="L2" s="21"/>
      <c r="M2" s="21"/>
      <c r="N2" s="21"/>
      <c r="O2" s="21"/>
      <c r="P2" s="156" t="s">
        <v>54</v>
      </c>
      <c r="Q2" s="153"/>
      <c r="R2" s="140"/>
      <c r="S2" s="21"/>
      <c r="T2" s="21"/>
      <c r="U2" s="21"/>
      <c r="V2" s="21"/>
      <c r="W2" s="21"/>
      <c r="X2" s="21"/>
      <c r="Y2" s="21"/>
      <c r="Z2" s="21"/>
    </row>
    <row r="3" spans="1:26" ht="15.75" customHeight="1">
      <c r="A3" s="21"/>
      <c r="B3" s="27"/>
      <c r="C3" s="27"/>
      <c r="D3" s="27"/>
      <c r="E3" s="28"/>
      <c r="F3" s="28"/>
      <c r="G3" s="28"/>
      <c r="H3" s="28"/>
      <c r="I3" s="28"/>
      <c r="J3" s="27"/>
      <c r="K3" s="27"/>
      <c r="L3" s="21"/>
      <c r="M3" s="21"/>
      <c r="N3" s="21"/>
      <c r="O3" s="21"/>
      <c r="P3" s="29"/>
      <c r="Q3" s="29"/>
      <c r="R3" s="29"/>
      <c r="S3" s="21"/>
      <c r="T3" s="21"/>
      <c r="U3" s="21"/>
      <c r="V3" s="21"/>
      <c r="W3" s="21"/>
      <c r="X3" s="21"/>
      <c r="Y3" s="21"/>
      <c r="Z3" s="21"/>
    </row>
    <row r="4" spans="1:26" ht="15.75" customHeight="1">
      <c r="A4" s="21"/>
      <c r="B4" s="157" t="s">
        <v>55</v>
      </c>
      <c r="C4" s="158"/>
      <c r="D4" s="30"/>
      <c r="E4" s="159" t="s">
        <v>38</v>
      </c>
      <c r="F4" s="160"/>
      <c r="G4" s="160"/>
      <c r="H4" s="160"/>
      <c r="I4" s="161"/>
      <c r="J4" s="27"/>
      <c r="K4" s="27"/>
      <c r="L4" s="21"/>
      <c r="M4" s="21"/>
      <c r="N4" s="21"/>
      <c r="O4" s="21"/>
      <c r="P4" s="29"/>
      <c r="Q4" s="29"/>
      <c r="R4" s="29"/>
      <c r="S4" s="21"/>
      <c r="T4" s="21"/>
      <c r="U4" s="21"/>
      <c r="V4" s="21"/>
      <c r="W4" s="21"/>
      <c r="X4" s="21"/>
      <c r="Y4" s="21"/>
      <c r="Z4" s="21"/>
    </row>
    <row r="5" spans="1:26" ht="15.75" customHeight="1">
      <c r="A5" s="21"/>
      <c r="B5" s="31" t="s">
        <v>56</v>
      </c>
      <c r="C5" s="31">
        <f>C13</f>
        <v>0</v>
      </c>
      <c r="D5" s="30"/>
      <c r="E5" s="32"/>
      <c r="F5" s="33"/>
      <c r="G5" s="33"/>
      <c r="H5" s="34"/>
      <c r="I5" s="34"/>
      <c r="J5" s="27"/>
      <c r="K5" s="27"/>
      <c r="L5" s="21"/>
      <c r="M5" s="21"/>
      <c r="N5" s="21"/>
      <c r="O5" s="21"/>
      <c r="P5" s="29"/>
      <c r="Q5" s="29"/>
      <c r="R5" s="29"/>
      <c r="S5" s="21"/>
      <c r="T5" s="21"/>
      <c r="U5" s="21"/>
      <c r="V5" s="21"/>
      <c r="W5" s="21"/>
      <c r="X5" s="21"/>
      <c r="Y5" s="21"/>
      <c r="Z5" s="21"/>
    </row>
    <row r="6" spans="1:26" ht="15.75" customHeight="1">
      <c r="A6" s="21"/>
      <c r="B6" s="35" t="s">
        <v>32</v>
      </c>
      <c r="C6" s="35">
        <f>E13</f>
        <v>0</v>
      </c>
      <c r="D6" s="30"/>
      <c r="E6" s="36"/>
      <c r="F6" s="37"/>
      <c r="G6" s="38"/>
      <c r="H6" s="39"/>
      <c r="I6" s="39"/>
      <c r="J6" s="27"/>
      <c r="K6" s="27"/>
      <c r="L6" s="21"/>
      <c r="M6" s="21"/>
      <c r="N6" s="21"/>
      <c r="O6" s="21"/>
      <c r="P6" s="29"/>
      <c r="Q6" s="29"/>
      <c r="R6" s="29"/>
      <c r="S6" s="21"/>
      <c r="T6" s="21"/>
      <c r="U6" s="21"/>
      <c r="V6" s="21"/>
      <c r="W6" s="21"/>
      <c r="X6" s="21"/>
      <c r="Y6" s="21"/>
      <c r="Z6" s="21"/>
    </row>
    <row r="7" spans="1:26" ht="15.75" customHeight="1">
      <c r="A7" s="21"/>
      <c r="B7" s="40" t="s">
        <v>34</v>
      </c>
      <c r="C7" s="40">
        <f>H13+I13</f>
        <v>0</v>
      </c>
      <c r="D7" s="30"/>
      <c r="E7" s="162"/>
      <c r="F7" s="163"/>
      <c r="G7" s="163"/>
      <c r="H7" s="163"/>
      <c r="I7" s="164"/>
      <c r="J7" s="27"/>
      <c r="K7" s="27"/>
      <c r="L7" s="21"/>
      <c r="M7" s="21"/>
      <c r="N7" s="21"/>
      <c r="O7" s="21"/>
      <c r="P7" s="29"/>
      <c r="Q7" s="29"/>
      <c r="R7" s="29"/>
      <c r="S7" s="21"/>
      <c r="T7" s="21"/>
      <c r="U7" s="21"/>
      <c r="V7" s="21"/>
      <c r="W7" s="21"/>
      <c r="X7" s="21"/>
      <c r="Y7" s="21"/>
      <c r="Z7" s="21"/>
    </row>
    <row r="8" spans="1:26" ht="15.75" customHeight="1">
      <c r="A8" s="21"/>
      <c r="B8" s="41" t="s">
        <v>57</v>
      </c>
      <c r="C8" s="41">
        <f>C5+C6-C7-E7</f>
        <v>0</v>
      </c>
      <c r="D8" s="27"/>
      <c r="E8" s="27"/>
      <c r="F8" s="27"/>
      <c r="G8" s="27"/>
      <c r="H8" s="27"/>
      <c r="I8" s="27"/>
      <c r="J8" s="27"/>
      <c r="K8" s="27"/>
      <c r="L8" s="21"/>
      <c r="M8" s="21"/>
      <c r="N8" s="21"/>
      <c r="O8" s="21"/>
      <c r="P8" s="29"/>
      <c r="Q8" s="29"/>
      <c r="R8" s="29"/>
      <c r="S8" s="21"/>
      <c r="T8" s="21"/>
      <c r="U8" s="21"/>
      <c r="V8" s="21"/>
      <c r="W8" s="21"/>
      <c r="X8" s="21"/>
      <c r="Y8" s="21"/>
      <c r="Z8" s="21"/>
    </row>
    <row r="9" spans="1:26" ht="15.75" customHeight="1">
      <c r="A9" s="21"/>
      <c r="B9" s="42"/>
      <c r="C9" s="27"/>
      <c r="D9" s="27"/>
      <c r="E9" s="42"/>
      <c r="F9" s="42"/>
      <c r="G9" s="42"/>
      <c r="H9" s="42"/>
      <c r="I9" s="42"/>
      <c r="J9" s="42"/>
      <c r="K9" s="27"/>
      <c r="L9" s="21"/>
      <c r="M9" s="21"/>
      <c r="N9" s="21"/>
      <c r="O9" s="21"/>
      <c r="P9" s="43"/>
      <c r="Q9" s="29"/>
      <c r="R9" s="29"/>
      <c r="S9" s="21"/>
      <c r="T9" s="21"/>
      <c r="U9" s="21"/>
      <c r="V9" s="21"/>
      <c r="W9" s="21"/>
      <c r="X9" s="21"/>
      <c r="Y9" s="21"/>
      <c r="Z9" s="21"/>
    </row>
    <row r="10" spans="1:26" ht="15.75" customHeight="1">
      <c r="A10" s="21"/>
      <c r="B10" s="165" t="s">
        <v>30</v>
      </c>
      <c r="C10" s="174" t="s">
        <v>56</v>
      </c>
      <c r="D10" s="175"/>
      <c r="E10" s="167" t="s">
        <v>32</v>
      </c>
      <c r="F10" s="168"/>
      <c r="G10" s="169"/>
      <c r="H10" s="170" t="s">
        <v>34</v>
      </c>
      <c r="I10" s="168"/>
      <c r="J10" s="169"/>
      <c r="K10" s="27"/>
      <c r="L10" s="21"/>
      <c r="M10" s="21"/>
      <c r="N10" s="21"/>
      <c r="O10" s="21"/>
      <c r="P10" s="29"/>
      <c r="Q10" s="29"/>
      <c r="R10" s="29"/>
      <c r="S10" s="21"/>
      <c r="T10" s="21"/>
      <c r="U10" s="21"/>
      <c r="V10" s="21"/>
      <c r="W10" s="21"/>
      <c r="X10" s="21"/>
      <c r="Y10" s="21"/>
      <c r="Z10" s="21"/>
    </row>
    <row r="11" spans="1:26" ht="15.75" customHeight="1">
      <c r="A11" s="21"/>
      <c r="B11" s="166"/>
      <c r="C11" s="45" t="s">
        <v>58</v>
      </c>
      <c r="D11" s="45" t="s">
        <v>59</v>
      </c>
      <c r="E11" s="46" t="s">
        <v>60</v>
      </c>
      <c r="F11" s="46" t="s">
        <v>61</v>
      </c>
      <c r="G11" s="46" t="s">
        <v>62</v>
      </c>
      <c r="H11" s="47" t="s">
        <v>35</v>
      </c>
      <c r="I11" s="48" t="s">
        <v>63</v>
      </c>
      <c r="J11" s="49" t="s">
        <v>64</v>
      </c>
      <c r="K11" s="27"/>
      <c r="L11" s="50"/>
      <c r="M11" s="50"/>
      <c r="N11" s="50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5.75" customHeight="1">
      <c r="A12" s="21"/>
      <c r="B12" s="51" t="s">
        <v>65</v>
      </c>
      <c r="C12" s="52"/>
      <c r="D12" s="52"/>
      <c r="E12" s="53"/>
      <c r="F12" s="53"/>
      <c r="G12" s="53"/>
      <c r="H12" s="54"/>
      <c r="I12" s="55"/>
      <c r="J12" s="56"/>
      <c r="K12" s="27"/>
      <c r="L12" s="50"/>
      <c r="M12" s="50"/>
      <c r="N12" s="50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5.75" customHeight="1">
      <c r="A13" s="21"/>
      <c r="B13" s="57" t="s">
        <v>66</v>
      </c>
      <c r="C13" s="174"/>
      <c r="D13" s="175"/>
      <c r="E13" s="167"/>
      <c r="F13" s="169"/>
      <c r="G13" s="58"/>
      <c r="H13" s="40"/>
      <c r="I13" s="176"/>
      <c r="J13" s="175"/>
      <c r="K13" s="27"/>
      <c r="L13" s="27"/>
      <c r="M13" s="27"/>
      <c r="N13" s="27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5.75" customHeight="1">
      <c r="A14" s="21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.75" customHeight="1">
      <c r="A15" s="21"/>
      <c r="B15" s="59" t="s">
        <v>67</v>
      </c>
      <c r="C15" s="60"/>
      <c r="D15" s="60"/>
      <c r="E15" s="60"/>
      <c r="F15" s="50"/>
      <c r="G15" s="50"/>
      <c r="H15" s="50"/>
      <c r="I15" s="50"/>
      <c r="J15" s="50"/>
      <c r="K15" s="50"/>
      <c r="L15" s="50"/>
      <c r="M15" s="50"/>
      <c r="N15" s="50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.75" customHeight="1">
      <c r="A16" s="21"/>
      <c r="B16" s="61" t="s">
        <v>68</v>
      </c>
      <c r="C16" s="44" t="s">
        <v>69</v>
      </c>
      <c r="D16" s="62" t="s">
        <v>70</v>
      </c>
      <c r="E16" s="49" t="s">
        <v>66</v>
      </c>
      <c r="F16" s="27"/>
      <c r="G16" s="27"/>
      <c r="H16" s="27"/>
      <c r="I16" s="27"/>
      <c r="J16" s="27"/>
      <c r="K16" s="27"/>
      <c r="L16" s="27"/>
      <c r="M16" s="27"/>
      <c r="N16" s="27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customHeight="1">
      <c r="A17" s="21"/>
      <c r="B17" s="63" t="s">
        <v>71</v>
      </c>
      <c r="C17" s="64"/>
      <c r="D17" s="65"/>
      <c r="E17" s="49"/>
      <c r="F17" s="27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.75" customHeight="1">
      <c r="A18" s="21"/>
      <c r="B18" s="66" t="s">
        <v>72</v>
      </c>
      <c r="C18" s="64"/>
      <c r="D18" s="65"/>
      <c r="E18" s="49"/>
      <c r="F18" s="27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customHeight="1">
      <c r="A19" s="21"/>
      <c r="B19" s="66" t="s">
        <v>73</v>
      </c>
      <c r="C19" s="64"/>
      <c r="D19" s="65"/>
      <c r="E19" s="49"/>
      <c r="F19" s="27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customHeight="1">
      <c r="A20" s="21"/>
      <c r="B20" s="66" t="s">
        <v>74</v>
      </c>
      <c r="C20" s="67"/>
      <c r="D20" s="68"/>
      <c r="E20" s="49"/>
      <c r="F20" s="27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.75" customHeight="1">
      <c r="A21" s="21"/>
      <c r="B21" s="69" t="s">
        <v>66</v>
      </c>
      <c r="C21" s="57"/>
      <c r="D21" s="70"/>
      <c r="E21" s="49"/>
      <c r="F21" s="27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customHeight="1">
      <c r="A22" s="21"/>
      <c r="B22" s="27"/>
      <c r="C22" s="27"/>
      <c r="D22" s="27"/>
      <c r="E22" s="27"/>
      <c r="F22" s="27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75" customHeight="1">
      <c r="A23" s="21"/>
      <c r="B23" s="59" t="s">
        <v>75</v>
      </c>
      <c r="C23" s="50"/>
      <c r="D23" s="50"/>
      <c r="E23" s="50"/>
      <c r="F23" s="50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.75" customHeight="1">
      <c r="A24" s="21"/>
      <c r="B24" s="37" t="s">
        <v>30</v>
      </c>
      <c r="C24" s="37" t="s">
        <v>76</v>
      </c>
      <c r="D24" s="37" t="s">
        <v>77</v>
      </c>
      <c r="E24" s="37" t="s">
        <v>34</v>
      </c>
      <c r="F24" s="27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customHeight="1">
      <c r="A25" s="21"/>
      <c r="B25" s="177" t="s">
        <v>35</v>
      </c>
      <c r="C25" s="37"/>
      <c r="D25" s="37"/>
      <c r="E25" s="37"/>
      <c r="F25" s="27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.75" customHeight="1">
      <c r="A26" s="21"/>
      <c r="B26" s="178"/>
      <c r="C26" s="37"/>
      <c r="D26" s="37"/>
      <c r="E26" s="37"/>
      <c r="F26" s="27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.75" customHeight="1">
      <c r="A27" s="21"/>
      <c r="B27" s="178"/>
      <c r="C27" s="37"/>
      <c r="D27" s="37"/>
      <c r="E27" s="37"/>
      <c r="F27" s="27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.75" customHeight="1">
      <c r="A28" s="21"/>
      <c r="B28" s="178"/>
      <c r="C28" s="71"/>
      <c r="D28" s="71"/>
      <c r="E28" s="7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customHeight="1">
      <c r="A29" s="21"/>
      <c r="B29" s="178"/>
      <c r="C29" s="71"/>
      <c r="D29" s="71"/>
      <c r="E29" s="71"/>
      <c r="F29" s="27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customHeight="1">
      <c r="A30" s="21"/>
      <c r="B30" s="178"/>
      <c r="C30" s="71"/>
      <c r="D30" s="71"/>
      <c r="E30" s="71"/>
      <c r="F30" s="27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5.75" customHeight="1">
      <c r="A31" s="21"/>
      <c r="B31" s="178"/>
      <c r="C31" s="37"/>
      <c r="D31" s="37"/>
      <c r="E31" s="37"/>
      <c r="F31" s="27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.75" customHeight="1">
      <c r="A32" s="21"/>
      <c r="B32" s="178"/>
      <c r="C32" s="37"/>
      <c r="D32" s="37"/>
      <c r="E32" s="37"/>
      <c r="F32" s="27"/>
      <c r="G32" s="21"/>
      <c r="H32" s="27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.75" customHeight="1">
      <c r="A33" s="21"/>
      <c r="B33" s="178"/>
      <c r="C33" s="37"/>
      <c r="D33" s="37"/>
      <c r="E33" s="37"/>
      <c r="F33" s="27"/>
      <c r="G33" s="27"/>
      <c r="H33" s="27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.75" customHeight="1">
      <c r="A34" s="21"/>
      <c r="B34" s="178"/>
      <c r="C34" s="37"/>
      <c r="D34" s="37"/>
      <c r="E34" s="37"/>
      <c r="F34" s="27"/>
      <c r="G34" s="27"/>
      <c r="H34" s="27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5.75" customHeight="1">
      <c r="A35" s="21"/>
      <c r="B35" s="178"/>
      <c r="C35" s="37"/>
      <c r="D35" s="37"/>
      <c r="E35" s="37"/>
      <c r="F35" s="27"/>
      <c r="G35" s="27"/>
      <c r="H35" s="27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.75" customHeight="1">
      <c r="A36" s="21"/>
      <c r="B36" s="178"/>
      <c r="C36" s="37"/>
      <c r="D36" s="37"/>
      <c r="E36" s="37"/>
      <c r="F36" s="27"/>
      <c r="G36" s="27"/>
      <c r="H36" s="27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.75" customHeight="1">
      <c r="A37" s="21"/>
      <c r="B37" s="178"/>
      <c r="C37" s="37"/>
      <c r="D37" s="37"/>
      <c r="E37" s="37"/>
      <c r="F37" s="27"/>
      <c r="G37" s="27"/>
      <c r="H37" s="27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.75" customHeight="1">
      <c r="A38" s="21"/>
      <c r="B38" s="178"/>
      <c r="C38" s="37"/>
      <c r="D38" s="37"/>
      <c r="E38" s="37"/>
      <c r="F38" s="27"/>
      <c r="G38" s="27"/>
      <c r="H38" s="27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.75" customHeight="1">
      <c r="A39" s="21"/>
      <c r="B39" s="178"/>
      <c r="C39" s="37"/>
      <c r="D39" s="37"/>
      <c r="E39" s="37"/>
      <c r="F39" s="27"/>
      <c r="G39" s="27"/>
      <c r="H39" s="27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.75" customHeight="1">
      <c r="A40" s="21"/>
      <c r="B40" s="179" t="s">
        <v>66</v>
      </c>
      <c r="C40" s="180"/>
      <c r="D40" s="175"/>
      <c r="E40" s="72">
        <f>SUM(E25:E39)</f>
        <v>0</v>
      </c>
      <c r="F40" s="27"/>
      <c r="G40" s="27"/>
      <c r="H40" s="27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.75" customHeight="1">
      <c r="A41" s="21"/>
      <c r="B41" s="27"/>
      <c r="C41" s="27"/>
      <c r="D41" s="27"/>
      <c r="E41" s="27"/>
      <c r="F41" s="27"/>
      <c r="G41" s="27"/>
      <c r="H41" s="27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.75" customHeight="1">
      <c r="A42" s="21"/>
      <c r="B42" s="59" t="s">
        <v>78</v>
      </c>
      <c r="C42" s="50"/>
      <c r="D42" s="50"/>
      <c r="E42" s="50"/>
      <c r="F42" s="50"/>
      <c r="G42" s="50"/>
      <c r="H42" s="60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customHeight="1">
      <c r="A43" s="21"/>
      <c r="B43" s="37" t="s">
        <v>79</v>
      </c>
      <c r="C43" s="37" t="s">
        <v>77</v>
      </c>
      <c r="D43" s="37" t="s">
        <v>65</v>
      </c>
      <c r="E43" s="37" t="s">
        <v>80</v>
      </c>
      <c r="F43" s="37" t="s">
        <v>57</v>
      </c>
      <c r="G43" s="61" t="s">
        <v>81</v>
      </c>
      <c r="H43" s="37" t="s">
        <v>82</v>
      </c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.75" customHeight="1">
      <c r="A44" s="21"/>
      <c r="B44" s="37"/>
      <c r="C44" s="37"/>
      <c r="D44" s="37"/>
      <c r="E44" s="73"/>
      <c r="F44" s="37"/>
      <c r="G44" s="57">
        <f t="shared" ref="G44:G45" si="0">H44-B44</f>
        <v>0</v>
      </c>
      <c r="H44" s="37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.75" customHeight="1">
      <c r="A45" s="21"/>
      <c r="B45" s="37"/>
      <c r="C45" s="37"/>
      <c r="D45" s="37"/>
      <c r="E45" s="73"/>
      <c r="F45" s="37"/>
      <c r="G45" s="57">
        <f t="shared" si="0"/>
        <v>0</v>
      </c>
      <c r="H45" s="37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customHeight="1">
      <c r="A48" s="21"/>
      <c r="B48" s="181" t="s">
        <v>83</v>
      </c>
      <c r="C48" s="182"/>
      <c r="D48" s="74">
        <f>SUM(D44:D47)</f>
        <v>0</v>
      </c>
      <c r="E48" s="57" t="s">
        <v>84</v>
      </c>
      <c r="F48" s="57">
        <f>SUM(F44:F47)</f>
        <v>0</v>
      </c>
      <c r="G48" s="27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customHeight="1">
      <c r="A49" s="21"/>
      <c r="B49" s="27"/>
      <c r="C49" s="27"/>
      <c r="D49" s="27"/>
      <c r="E49" s="27"/>
      <c r="F49" s="27"/>
      <c r="G49" s="27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customHeight="1">
      <c r="A50" s="21"/>
      <c r="B50" s="59" t="s">
        <v>85</v>
      </c>
      <c r="C50" s="50"/>
      <c r="D50" s="50"/>
      <c r="E50" s="50"/>
      <c r="F50" s="50"/>
      <c r="G50" s="50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customHeight="1">
      <c r="A51" s="21"/>
      <c r="B51" s="75" t="s">
        <v>86</v>
      </c>
      <c r="C51" s="76" t="s">
        <v>77</v>
      </c>
      <c r="D51" s="76" t="s">
        <v>87</v>
      </c>
      <c r="E51" s="76" t="s">
        <v>65</v>
      </c>
      <c r="F51" s="171" t="s">
        <v>80</v>
      </c>
      <c r="G51" s="172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.75" customHeight="1">
      <c r="A52" s="21"/>
      <c r="B52" s="173" t="s">
        <v>88</v>
      </c>
      <c r="C52" s="168"/>
      <c r="D52" s="169"/>
      <c r="E52" s="49"/>
      <c r="F52" s="57" t="s">
        <v>89</v>
      </c>
      <c r="G52" s="77" t="s">
        <v>90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.75" customHeight="1">
      <c r="A53" s="21"/>
      <c r="B53" s="78">
        <v>45326</v>
      </c>
      <c r="C53" s="57" t="s">
        <v>91</v>
      </c>
      <c r="D53" s="57" t="s">
        <v>92</v>
      </c>
      <c r="E53" s="57">
        <v>500000</v>
      </c>
      <c r="F53" s="79" t="s">
        <v>93</v>
      </c>
      <c r="G53" s="77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.75" customHeight="1">
      <c r="A54" s="21"/>
      <c r="B54" s="78">
        <v>45333</v>
      </c>
      <c r="C54" s="57" t="s">
        <v>94</v>
      </c>
      <c r="D54" s="57" t="s">
        <v>95</v>
      </c>
      <c r="E54" s="57">
        <v>300000</v>
      </c>
      <c r="F54" s="79" t="s">
        <v>93</v>
      </c>
      <c r="G54" s="77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.75" customHeight="1">
      <c r="A55" s="21"/>
      <c r="B55" s="78">
        <v>45346</v>
      </c>
      <c r="C55" s="57" t="s">
        <v>96</v>
      </c>
      <c r="D55" s="57" t="s">
        <v>97</v>
      </c>
      <c r="E55" s="57">
        <v>100000</v>
      </c>
      <c r="F55" s="79" t="s">
        <v>93</v>
      </c>
      <c r="G55" s="77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.75" customHeight="1">
      <c r="A56" s="21"/>
      <c r="B56" s="78">
        <v>45349</v>
      </c>
      <c r="C56" s="57" t="s">
        <v>98</v>
      </c>
      <c r="D56" s="57" t="s">
        <v>99</v>
      </c>
      <c r="E56" s="57">
        <v>120000</v>
      </c>
      <c r="F56" s="79" t="s">
        <v>93</v>
      </c>
      <c r="G56" s="77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6">
    <mergeCell ref="I13:J13"/>
    <mergeCell ref="B25:B39"/>
    <mergeCell ref="B40:D40"/>
    <mergeCell ref="B48:C48"/>
    <mergeCell ref="F51:G51"/>
    <mergeCell ref="B52:D52"/>
    <mergeCell ref="C10:D10"/>
    <mergeCell ref="C13:D13"/>
    <mergeCell ref="E13:F13"/>
    <mergeCell ref="P2:R2"/>
    <mergeCell ref="B4:C4"/>
    <mergeCell ref="E4:I4"/>
    <mergeCell ref="E7:I7"/>
    <mergeCell ref="B10:B11"/>
    <mergeCell ref="E10:G10"/>
    <mergeCell ref="H10:J10"/>
  </mergeCells>
  <phoneticPr fontId="13" type="noConversion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0"/>
  <sheetViews>
    <sheetView workbookViewId="0"/>
  </sheetViews>
  <sheetFormatPr defaultColWidth="12.6640625" defaultRowHeight="15" customHeight="1"/>
  <cols>
    <col min="1" max="1" width="2.33203125" customWidth="1"/>
    <col min="2" max="10" width="8.77734375" customWidth="1"/>
    <col min="11" max="26" width="8.33203125" customWidth="1"/>
  </cols>
  <sheetData>
    <row r="1" spans="1:26" ht="15.7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.75" customHeight="1">
      <c r="A2" s="21"/>
      <c r="B2" s="22"/>
      <c r="C2" s="22"/>
      <c r="D2" s="23"/>
      <c r="E2" s="24" t="s">
        <v>51</v>
      </c>
      <c r="F2" s="25" t="s">
        <v>52</v>
      </c>
      <c r="G2" s="26" t="s">
        <v>53</v>
      </c>
      <c r="H2" s="27"/>
      <c r="I2" s="27"/>
      <c r="J2" s="27"/>
      <c r="K2" s="27"/>
      <c r="L2" s="21"/>
      <c r="M2" s="21"/>
      <c r="N2" s="21"/>
      <c r="O2" s="21"/>
      <c r="P2" s="156" t="s">
        <v>54</v>
      </c>
      <c r="Q2" s="153"/>
      <c r="R2" s="140"/>
      <c r="S2" s="21"/>
      <c r="T2" s="21"/>
      <c r="U2" s="21"/>
      <c r="V2" s="21"/>
      <c r="W2" s="21"/>
      <c r="X2" s="21"/>
      <c r="Y2" s="21"/>
      <c r="Z2" s="21"/>
    </row>
    <row r="3" spans="1:26" ht="15.75" customHeight="1">
      <c r="A3" s="21"/>
      <c r="B3" s="27"/>
      <c r="C3" s="27"/>
      <c r="D3" s="27"/>
      <c r="E3" s="28"/>
      <c r="F3" s="28"/>
      <c r="G3" s="28"/>
      <c r="H3" s="28"/>
      <c r="I3" s="28"/>
      <c r="J3" s="27"/>
      <c r="K3" s="27"/>
      <c r="L3" s="21"/>
      <c r="M3" s="21"/>
      <c r="N3" s="21"/>
      <c r="O3" s="21"/>
      <c r="P3" s="29"/>
      <c r="Q3" s="29"/>
      <c r="R3" s="29"/>
      <c r="S3" s="21"/>
      <c r="T3" s="21"/>
      <c r="U3" s="21"/>
      <c r="V3" s="21"/>
      <c r="W3" s="21"/>
      <c r="X3" s="21"/>
      <c r="Y3" s="21"/>
      <c r="Z3" s="21"/>
    </row>
    <row r="4" spans="1:26" ht="15.75" customHeight="1">
      <c r="A4" s="21"/>
      <c r="B4" s="157" t="s">
        <v>55</v>
      </c>
      <c r="C4" s="158"/>
      <c r="D4" s="30"/>
      <c r="E4" s="159" t="s">
        <v>38</v>
      </c>
      <c r="F4" s="160"/>
      <c r="G4" s="160"/>
      <c r="H4" s="160"/>
      <c r="I4" s="161"/>
      <c r="J4" s="27"/>
      <c r="K4" s="27"/>
      <c r="L4" s="21"/>
      <c r="M4" s="21"/>
      <c r="N4" s="21"/>
      <c r="O4" s="21"/>
      <c r="P4" s="29"/>
      <c r="Q4" s="29"/>
      <c r="R4" s="29"/>
      <c r="S4" s="21"/>
      <c r="T4" s="21"/>
      <c r="U4" s="21"/>
      <c r="V4" s="21"/>
      <c r="W4" s="21"/>
      <c r="X4" s="21"/>
      <c r="Y4" s="21"/>
      <c r="Z4" s="21"/>
    </row>
    <row r="5" spans="1:26" ht="15.75" customHeight="1">
      <c r="A5" s="21"/>
      <c r="B5" s="31" t="s">
        <v>56</v>
      </c>
      <c r="C5" s="31">
        <f>C13</f>
        <v>0</v>
      </c>
      <c r="D5" s="30"/>
      <c r="E5" s="32"/>
      <c r="F5" s="33"/>
      <c r="G5" s="33"/>
      <c r="H5" s="34"/>
      <c r="I5" s="34"/>
      <c r="J5" s="27"/>
      <c r="K5" s="27"/>
      <c r="L5" s="21"/>
      <c r="M5" s="21"/>
      <c r="N5" s="21"/>
      <c r="O5" s="21"/>
      <c r="P5" s="29"/>
      <c r="Q5" s="29"/>
      <c r="R5" s="29"/>
      <c r="S5" s="21"/>
      <c r="T5" s="21"/>
      <c r="U5" s="21"/>
      <c r="V5" s="21"/>
      <c r="W5" s="21"/>
      <c r="X5" s="21"/>
      <c r="Y5" s="21"/>
      <c r="Z5" s="21"/>
    </row>
    <row r="6" spans="1:26" ht="15.75" customHeight="1">
      <c r="A6" s="21"/>
      <c r="B6" s="35" t="s">
        <v>32</v>
      </c>
      <c r="C6" s="35">
        <f>E13</f>
        <v>0</v>
      </c>
      <c r="D6" s="30"/>
      <c r="E6" s="36"/>
      <c r="F6" s="37"/>
      <c r="G6" s="38"/>
      <c r="H6" s="39"/>
      <c r="I6" s="39"/>
      <c r="J6" s="27"/>
      <c r="K6" s="27"/>
      <c r="L6" s="21"/>
      <c r="M6" s="21"/>
      <c r="N6" s="21"/>
      <c r="O6" s="21"/>
      <c r="P6" s="29"/>
      <c r="Q6" s="29"/>
      <c r="R6" s="29"/>
      <c r="S6" s="21"/>
      <c r="T6" s="21"/>
      <c r="U6" s="21"/>
      <c r="V6" s="21"/>
      <c r="W6" s="21"/>
      <c r="X6" s="21"/>
      <c r="Y6" s="21"/>
      <c r="Z6" s="21"/>
    </row>
    <row r="7" spans="1:26" ht="15.75" customHeight="1">
      <c r="A7" s="21"/>
      <c r="B7" s="40" t="s">
        <v>34</v>
      </c>
      <c r="C7" s="40">
        <f>H13+I13</f>
        <v>0</v>
      </c>
      <c r="D7" s="30"/>
      <c r="E7" s="162"/>
      <c r="F7" s="163"/>
      <c r="G7" s="163"/>
      <c r="H7" s="163"/>
      <c r="I7" s="164"/>
      <c r="J7" s="27"/>
      <c r="K7" s="27"/>
      <c r="L7" s="21"/>
      <c r="M7" s="21"/>
      <c r="N7" s="21"/>
      <c r="O7" s="21"/>
      <c r="P7" s="29"/>
      <c r="Q7" s="29"/>
      <c r="R7" s="29"/>
      <c r="S7" s="21"/>
      <c r="T7" s="21"/>
      <c r="U7" s="21"/>
      <c r="V7" s="21"/>
      <c r="W7" s="21"/>
      <c r="X7" s="21"/>
      <c r="Y7" s="21"/>
      <c r="Z7" s="21"/>
    </row>
    <row r="8" spans="1:26" ht="15.75" customHeight="1">
      <c r="A8" s="21"/>
      <c r="B8" s="41" t="s">
        <v>57</v>
      </c>
      <c r="C8" s="41">
        <f>C5+C6-C7-E7</f>
        <v>0</v>
      </c>
      <c r="D8" s="27"/>
      <c r="E8" s="27"/>
      <c r="F8" s="27"/>
      <c r="G8" s="27"/>
      <c r="H8" s="27"/>
      <c r="I8" s="27"/>
      <c r="J8" s="27"/>
      <c r="K8" s="27"/>
      <c r="L8" s="21"/>
      <c r="M8" s="21"/>
      <c r="N8" s="21"/>
      <c r="O8" s="21"/>
      <c r="P8" s="29"/>
      <c r="Q8" s="29"/>
      <c r="R8" s="29"/>
      <c r="S8" s="21"/>
      <c r="T8" s="21"/>
      <c r="U8" s="21"/>
      <c r="V8" s="21"/>
      <c r="W8" s="21"/>
      <c r="X8" s="21"/>
      <c r="Y8" s="21"/>
      <c r="Z8" s="21"/>
    </row>
    <row r="9" spans="1:26" ht="15.75" customHeight="1">
      <c r="A9" s="21"/>
      <c r="B9" s="42"/>
      <c r="C9" s="27"/>
      <c r="D9" s="27"/>
      <c r="E9" s="42"/>
      <c r="F9" s="42"/>
      <c r="G9" s="42"/>
      <c r="H9" s="42"/>
      <c r="I9" s="42"/>
      <c r="J9" s="42"/>
      <c r="K9" s="27"/>
      <c r="L9" s="21"/>
      <c r="M9" s="21"/>
      <c r="N9" s="21"/>
      <c r="O9" s="21"/>
      <c r="P9" s="43"/>
      <c r="Q9" s="29"/>
      <c r="R9" s="29"/>
      <c r="S9" s="21"/>
      <c r="T9" s="21"/>
      <c r="U9" s="21"/>
      <c r="V9" s="21"/>
      <c r="W9" s="21"/>
      <c r="X9" s="21"/>
      <c r="Y9" s="21"/>
      <c r="Z9" s="21"/>
    </row>
    <row r="10" spans="1:26" ht="15.75" customHeight="1">
      <c r="A10" s="21"/>
      <c r="B10" s="165" t="s">
        <v>30</v>
      </c>
      <c r="C10" s="174" t="s">
        <v>56</v>
      </c>
      <c r="D10" s="175"/>
      <c r="E10" s="167" t="s">
        <v>32</v>
      </c>
      <c r="F10" s="168"/>
      <c r="G10" s="169"/>
      <c r="H10" s="170" t="s">
        <v>34</v>
      </c>
      <c r="I10" s="168"/>
      <c r="J10" s="169"/>
      <c r="K10" s="27"/>
      <c r="L10" s="21"/>
      <c r="M10" s="21"/>
      <c r="N10" s="21"/>
      <c r="O10" s="21"/>
      <c r="P10" s="29"/>
      <c r="Q10" s="29"/>
      <c r="R10" s="29"/>
      <c r="S10" s="21"/>
      <c r="T10" s="21"/>
      <c r="U10" s="21"/>
      <c r="V10" s="21"/>
      <c r="W10" s="21"/>
      <c r="X10" s="21"/>
      <c r="Y10" s="21"/>
      <c r="Z10" s="21"/>
    </row>
    <row r="11" spans="1:26" ht="15.75" customHeight="1">
      <c r="A11" s="21"/>
      <c r="B11" s="166"/>
      <c r="C11" s="45" t="s">
        <v>58</v>
      </c>
      <c r="D11" s="45" t="s">
        <v>59</v>
      </c>
      <c r="E11" s="46" t="s">
        <v>60</v>
      </c>
      <c r="F11" s="46" t="s">
        <v>61</v>
      </c>
      <c r="G11" s="46" t="s">
        <v>62</v>
      </c>
      <c r="H11" s="47" t="s">
        <v>35</v>
      </c>
      <c r="I11" s="48" t="s">
        <v>63</v>
      </c>
      <c r="J11" s="49" t="s">
        <v>64</v>
      </c>
      <c r="K11" s="27"/>
      <c r="L11" s="50"/>
      <c r="M11" s="50"/>
      <c r="N11" s="50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5.75" customHeight="1">
      <c r="A12" s="21"/>
      <c r="B12" s="51" t="s">
        <v>65</v>
      </c>
      <c r="C12" s="52"/>
      <c r="D12" s="52"/>
      <c r="E12" s="53"/>
      <c r="F12" s="53"/>
      <c r="G12" s="53"/>
      <c r="H12" s="54"/>
      <c r="I12" s="55"/>
      <c r="J12" s="56"/>
      <c r="K12" s="27"/>
      <c r="L12" s="50"/>
      <c r="M12" s="50"/>
      <c r="N12" s="50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5.75" customHeight="1">
      <c r="A13" s="21"/>
      <c r="B13" s="57" t="s">
        <v>66</v>
      </c>
      <c r="C13" s="174"/>
      <c r="D13" s="175"/>
      <c r="E13" s="167"/>
      <c r="F13" s="169"/>
      <c r="G13" s="58"/>
      <c r="H13" s="40"/>
      <c r="I13" s="176"/>
      <c r="J13" s="175"/>
      <c r="K13" s="27"/>
      <c r="L13" s="27"/>
      <c r="M13" s="27"/>
      <c r="N13" s="27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5.75" customHeight="1">
      <c r="A14" s="21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.75" customHeight="1">
      <c r="A15" s="21"/>
      <c r="B15" s="59" t="s">
        <v>67</v>
      </c>
      <c r="C15" s="60"/>
      <c r="D15" s="60"/>
      <c r="E15" s="60"/>
      <c r="F15" s="50"/>
      <c r="G15" s="50"/>
      <c r="H15" s="50"/>
      <c r="I15" s="50"/>
      <c r="J15" s="50"/>
      <c r="K15" s="50"/>
      <c r="L15" s="50"/>
      <c r="M15" s="50"/>
      <c r="N15" s="50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.75" customHeight="1">
      <c r="A16" s="21"/>
      <c r="B16" s="61" t="s">
        <v>68</v>
      </c>
      <c r="C16" s="44" t="s">
        <v>69</v>
      </c>
      <c r="D16" s="62" t="s">
        <v>70</v>
      </c>
      <c r="E16" s="49" t="s">
        <v>66</v>
      </c>
      <c r="F16" s="27"/>
      <c r="G16" s="27"/>
      <c r="H16" s="27"/>
      <c r="I16" s="27"/>
      <c r="J16" s="27"/>
      <c r="K16" s="27"/>
      <c r="L16" s="27"/>
      <c r="M16" s="27"/>
      <c r="N16" s="27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customHeight="1">
      <c r="A17" s="21"/>
      <c r="B17" s="63" t="s">
        <v>71</v>
      </c>
      <c r="C17" s="64"/>
      <c r="D17" s="65"/>
      <c r="E17" s="49"/>
      <c r="F17" s="27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.75" customHeight="1">
      <c r="A18" s="21"/>
      <c r="B18" s="66" t="s">
        <v>72</v>
      </c>
      <c r="C18" s="64"/>
      <c r="D18" s="65"/>
      <c r="E18" s="49"/>
      <c r="F18" s="27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customHeight="1">
      <c r="A19" s="21"/>
      <c r="B19" s="66" t="s">
        <v>73</v>
      </c>
      <c r="C19" s="64"/>
      <c r="D19" s="65"/>
      <c r="E19" s="49"/>
      <c r="F19" s="27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customHeight="1">
      <c r="A20" s="21"/>
      <c r="B20" s="66" t="s">
        <v>74</v>
      </c>
      <c r="C20" s="67"/>
      <c r="D20" s="68"/>
      <c r="E20" s="49"/>
      <c r="F20" s="27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.75" customHeight="1">
      <c r="A21" s="21"/>
      <c r="B21" s="69" t="s">
        <v>66</v>
      </c>
      <c r="C21" s="57"/>
      <c r="D21" s="70"/>
      <c r="E21" s="49"/>
      <c r="F21" s="27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customHeight="1">
      <c r="A22" s="21"/>
      <c r="B22" s="27"/>
      <c r="C22" s="27"/>
      <c r="D22" s="27"/>
      <c r="E22" s="27"/>
      <c r="F22" s="27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75" customHeight="1">
      <c r="A23" s="21"/>
      <c r="B23" s="59" t="s">
        <v>75</v>
      </c>
      <c r="C23" s="50"/>
      <c r="D23" s="50"/>
      <c r="E23" s="50"/>
      <c r="F23" s="50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.75" customHeight="1">
      <c r="A24" s="21"/>
      <c r="B24" s="37" t="s">
        <v>30</v>
      </c>
      <c r="C24" s="37" t="s">
        <v>76</v>
      </c>
      <c r="D24" s="37" t="s">
        <v>77</v>
      </c>
      <c r="E24" s="37" t="s">
        <v>34</v>
      </c>
      <c r="F24" s="27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customHeight="1">
      <c r="A25" s="21"/>
      <c r="B25" s="177" t="s">
        <v>35</v>
      </c>
      <c r="C25" s="37"/>
      <c r="D25" s="37"/>
      <c r="E25" s="37"/>
      <c r="F25" s="27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.75" customHeight="1">
      <c r="A26" s="21"/>
      <c r="B26" s="178"/>
      <c r="C26" s="37"/>
      <c r="D26" s="37"/>
      <c r="E26" s="37"/>
      <c r="F26" s="27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.75" customHeight="1">
      <c r="A27" s="21"/>
      <c r="B27" s="178"/>
      <c r="C27" s="37"/>
      <c r="D27" s="37"/>
      <c r="E27" s="37"/>
      <c r="F27" s="27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.75" customHeight="1">
      <c r="A28" s="21"/>
      <c r="B28" s="178"/>
      <c r="C28" s="71"/>
      <c r="D28" s="71"/>
      <c r="E28" s="7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customHeight="1">
      <c r="A29" s="21"/>
      <c r="B29" s="178"/>
      <c r="C29" s="71"/>
      <c r="D29" s="71"/>
      <c r="E29" s="71"/>
      <c r="F29" s="27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customHeight="1">
      <c r="A30" s="21"/>
      <c r="B30" s="178"/>
      <c r="C30" s="71"/>
      <c r="D30" s="71"/>
      <c r="E30" s="71"/>
      <c r="F30" s="27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5.75" customHeight="1">
      <c r="A31" s="21"/>
      <c r="B31" s="178"/>
      <c r="C31" s="37"/>
      <c r="D31" s="37"/>
      <c r="E31" s="37"/>
      <c r="F31" s="27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.75" customHeight="1">
      <c r="A32" s="21"/>
      <c r="B32" s="178"/>
      <c r="C32" s="37"/>
      <c r="D32" s="37"/>
      <c r="E32" s="37"/>
      <c r="F32" s="27"/>
      <c r="G32" s="21"/>
      <c r="H32" s="27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.75" customHeight="1">
      <c r="A33" s="21"/>
      <c r="B33" s="178"/>
      <c r="C33" s="37"/>
      <c r="D33" s="37"/>
      <c r="E33" s="37"/>
      <c r="F33" s="27"/>
      <c r="G33" s="27"/>
      <c r="H33" s="27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.75" customHeight="1">
      <c r="A34" s="21"/>
      <c r="B34" s="178"/>
      <c r="C34" s="37"/>
      <c r="D34" s="37"/>
      <c r="E34" s="37"/>
      <c r="F34" s="27"/>
      <c r="G34" s="27"/>
      <c r="H34" s="27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5.75" customHeight="1">
      <c r="A35" s="21"/>
      <c r="B35" s="178"/>
      <c r="C35" s="37"/>
      <c r="D35" s="37"/>
      <c r="E35" s="37"/>
      <c r="F35" s="27"/>
      <c r="G35" s="27"/>
      <c r="H35" s="27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.75" customHeight="1">
      <c r="A36" s="21"/>
      <c r="B36" s="178"/>
      <c r="C36" s="37"/>
      <c r="D36" s="37"/>
      <c r="E36" s="37"/>
      <c r="F36" s="27"/>
      <c r="G36" s="27"/>
      <c r="H36" s="27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.75" customHeight="1">
      <c r="A37" s="21"/>
      <c r="B37" s="178"/>
      <c r="C37" s="37"/>
      <c r="D37" s="37"/>
      <c r="E37" s="37"/>
      <c r="F37" s="27"/>
      <c r="G37" s="27"/>
      <c r="H37" s="27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.75" customHeight="1">
      <c r="A38" s="21"/>
      <c r="B38" s="178"/>
      <c r="C38" s="37"/>
      <c r="D38" s="37"/>
      <c r="E38" s="37"/>
      <c r="F38" s="27"/>
      <c r="G38" s="27"/>
      <c r="H38" s="27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.75" customHeight="1">
      <c r="A39" s="21"/>
      <c r="B39" s="178"/>
      <c r="C39" s="37"/>
      <c r="D39" s="37"/>
      <c r="E39" s="37"/>
      <c r="F39" s="27"/>
      <c r="G39" s="27"/>
      <c r="H39" s="27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.75" customHeight="1">
      <c r="A40" s="21"/>
      <c r="B40" s="179" t="s">
        <v>66</v>
      </c>
      <c r="C40" s="180"/>
      <c r="D40" s="175"/>
      <c r="E40" s="72">
        <f>SUM(E25:E39)</f>
        <v>0</v>
      </c>
      <c r="F40" s="27"/>
      <c r="G40" s="27"/>
      <c r="H40" s="27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.75" customHeight="1">
      <c r="A41" s="21"/>
      <c r="B41" s="27"/>
      <c r="C41" s="27"/>
      <c r="D41" s="27"/>
      <c r="E41" s="27"/>
      <c r="F41" s="27"/>
      <c r="G41" s="27"/>
      <c r="H41" s="27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.75" customHeight="1">
      <c r="A42" s="21"/>
      <c r="B42" s="59" t="s">
        <v>78</v>
      </c>
      <c r="C42" s="50"/>
      <c r="D42" s="50"/>
      <c r="E42" s="50"/>
      <c r="F42" s="50"/>
      <c r="G42" s="50"/>
      <c r="H42" s="60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customHeight="1">
      <c r="A43" s="21"/>
      <c r="B43" s="37" t="s">
        <v>79</v>
      </c>
      <c r="C43" s="37" t="s">
        <v>77</v>
      </c>
      <c r="D43" s="37" t="s">
        <v>65</v>
      </c>
      <c r="E43" s="37" t="s">
        <v>80</v>
      </c>
      <c r="F43" s="37" t="s">
        <v>57</v>
      </c>
      <c r="G43" s="61" t="s">
        <v>81</v>
      </c>
      <c r="H43" s="37" t="s">
        <v>82</v>
      </c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.75" customHeight="1">
      <c r="A44" s="21"/>
      <c r="B44" s="37"/>
      <c r="C44" s="37"/>
      <c r="D44" s="37"/>
      <c r="E44" s="73"/>
      <c r="F44" s="37"/>
      <c r="G44" s="57">
        <f t="shared" ref="G44:G45" si="0">H44-B44</f>
        <v>0</v>
      </c>
      <c r="H44" s="37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.75" customHeight="1">
      <c r="A45" s="21"/>
      <c r="B45" s="37"/>
      <c r="C45" s="37"/>
      <c r="D45" s="37"/>
      <c r="E45" s="73"/>
      <c r="F45" s="37"/>
      <c r="G45" s="57">
        <f t="shared" si="0"/>
        <v>0</v>
      </c>
      <c r="H45" s="37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customHeight="1">
      <c r="A48" s="21"/>
      <c r="B48" s="181" t="s">
        <v>83</v>
      </c>
      <c r="C48" s="182"/>
      <c r="D48" s="74">
        <f>SUM(D44:D47)</f>
        <v>0</v>
      </c>
      <c r="E48" s="57" t="s">
        <v>84</v>
      </c>
      <c r="F48" s="57">
        <f>SUM(F44:F47)</f>
        <v>0</v>
      </c>
      <c r="G48" s="27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customHeight="1">
      <c r="A49" s="21"/>
      <c r="B49" s="27"/>
      <c r="C49" s="27"/>
      <c r="D49" s="27"/>
      <c r="E49" s="27"/>
      <c r="F49" s="27"/>
      <c r="G49" s="27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customHeight="1">
      <c r="A50" s="21"/>
      <c r="B50" s="59" t="s">
        <v>85</v>
      </c>
      <c r="C50" s="50"/>
      <c r="D50" s="50"/>
      <c r="E50" s="50"/>
      <c r="F50" s="50"/>
      <c r="G50" s="50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customHeight="1">
      <c r="A51" s="21"/>
      <c r="B51" s="75" t="s">
        <v>86</v>
      </c>
      <c r="C51" s="76" t="s">
        <v>77</v>
      </c>
      <c r="D51" s="76" t="s">
        <v>87</v>
      </c>
      <c r="E51" s="76" t="s">
        <v>65</v>
      </c>
      <c r="F51" s="171" t="s">
        <v>80</v>
      </c>
      <c r="G51" s="172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.75" customHeight="1">
      <c r="A52" s="21"/>
      <c r="B52" s="173" t="s">
        <v>88</v>
      </c>
      <c r="C52" s="168"/>
      <c r="D52" s="169"/>
      <c r="E52" s="49"/>
      <c r="F52" s="57" t="s">
        <v>89</v>
      </c>
      <c r="G52" s="77" t="s">
        <v>90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.75" customHeight="1">
      <c r="A53" s="21"/>
      <c r="B53" s="78">
        <v>45326</v>
      </c>
      <c r="C53" s="57" t="s">
        <v>91</v>
      </c>
      <c r="D53" s="57" t="s">
        <v>92</v>
      </c>
      <c r="E53" s="57">
        <v>500000</v>
      </c>
      <c r="F53" s="79" t="s">
        <v>93</v>
      </c>
      <c r="G53" s="77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.75" customHeight="1">
      <c r="A54" s="21"/>
      <c r="B54" s="78">
        <v>45333</v>
      </c>
      <c r="C54" s="57" t="s">
        <v>94</v>
      </c>
      <c r="D54" s="57" t="s">
        <v>95</v>
      </c>
      <c r="E54" s="57">
        <v>300000</v>
      </c>
      <c r="F54" s="79" t="s">
        <v>93</v>
      </c>
      <c r="G54" s="77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.75" customHeight="1">
      <c r="A55" s="21"/>
      <c r="B55" s="78">
        <v>45346</v>
      </c>
      <c r="C55" s="57" t="s">
        <v>96</v>
      </c>
      <c r="D55" s="57" t="s">
        <v>97</v>
      </c>
      <c r="E55" s="57">
        <v>100000</v>
      </c>
      <c r="F55" s="79" t="s">
        <v>93</v>
      </c>
      <c r="G55" s="77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.75" customHeight="1">
      <c r="A56" s="21"/>
      <c r="B56" s="78">
        <v>45349</v>
      </c>
      <c r="C56" s="57" t="s">
        <v>98</v>
      </c>
      <c r="D56" s="57" t="s">
        <v>99</v>
      </c>
      <c r="E56" s="57">
        <v>120000</v>
      </c>
      <c r="F56" s="79" t="s">
        <v>93</v>
      </c>
      <c r="G56" s="77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6">
    <mergeCell ref="I13:J13"/>
    <mergeCell ref="B25:B39"/>
    <mergeCell ref="B40:D40"/>
    <mergeCell ref="B48:C48"/>
    <mergeCell ref="F51:G51"/>
    <mergeCell ref="B52:D52"/>
    <mergeCell ref="C10:D10"/>
    <mergeCell ref="C13:D13"/>
    <mergeCell ref="E13:F13"/>
    <mergeCell ref="P2:R2"/>
    <mergeCell ref="B4:C4"/>
    <mergeCell ref="E4:I4"/>
    <mergeCell ref="E7:I7"/>
    <mergeCell ref="B10:B11"/>
    <mergeCell ref="E10:G10"/>
    <mergeCell ref="H10:J10"/>
  </mergeCells>
  <phoneticPr fontId="13" type="noConversion"/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000"/>
  <sheetViews>
    <sheetView workbookViewId="0"/>
  </sheetViews>
  <sheetFormatPr defaultColWidth="12.6640625" defaultRowHeight="15" customHeight="1"/>
  <cols>
    <col min="1" max="1" width="2.33203125" customWidth="1"/>
    <col min="2" max="10" width="8.77734375" customWidth="1"/>
    <col min="11" max="26" width="8.33203125" customWidth="1"/>
  </cols>
  <sheetData>
    <row r="1" spans="1:26" ht="15.7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.75" customHeight="1">
      <c r="A2" s="21"/>
      <c r="B2" s="22"/>
      <c r="C2" s="22"/>
      <c r="D2" s="23"/>
      <c r="E2" s="24" t="s">
        <v>51</v>
      </c>
      <c r="F2" s="25" t="s">
        <v>52</v>
      </c>
      <c r="G2" s="26" t="s">
        <v>53</v>
      </c>
      <c r="H2" s="27"/>
      <c r="I2" s="27"/>
      <c r="J2" s="27"/>
      <c r="K2" s="27"/>
      <c r="L2" s="21"/>
      <c r="M2" s="21"/>
      <c r="N2" s="21"/>
      <c r="O2" s="21"/>
      <c r="P2" s="156" t="s">
        <v>54</v>
      </c>
      <c r="Q2" s="153"/>
      <c r="R2" s="140"/>
      <c r="S2" s="21"/>
      <c r="T2" s="21"/>
      <c r="U2" s="21"/>
      <c r="V2" s="21"/>
      <c r="W2" s="21"/>
      <c r="X2" s="21"/>
      <c r="Y2" s="21"/>
      <c r="Z2" s="21"/>
    </row>
    <row r="3" spans="1:26" ht="15.75" customHeight="1">
      <c r="A3" s="21"/>
      <c r="B3" s="27"/>
      <c r="C3" s="27"/>
      <c r="D3" s="27"/>
      <c r="E3" s="28"/>
      <c r="F3" s="28"/>
      <c r="G3" s="28"/>
      <c r="H3" s="28"/>
      <c r="I3" s="28"/>
      <c r="J3" s="27"/>
      <c r="K3" s="27"/>
      <c r="L3" s="21"/>
      <c r="M3" s="21"/>
      <c r="N3" s="21"/>
      <c r="O3" s="21"/>
      <c r="P3" s="29"/>
      <c r="Q3" s="29"/>
      <c r="R3" s="29"/>
      <c r="S3" s="21"/>
      <c r="T3" s="21"/>
      <c r="U3" s="21"/>
      <c r="V3" s="21"/>
      <c r="W3" s="21"/>
      <c r="X3" s="21"/>
      <c r="Y3" s="21"/>
      <c r="Z3" s="21"/>
    </row>
    <row r="4" spans="1:26" ht="15.75" customHeight="1">
      <c r="A4" s="21"/>
      <c r="B4" s="157" t="s">
        <v>55</v>
      </c>
      <c r="C4" s="158"/>
      <c r="D4" s="30"/>
      <c r="E4" s="159" t="s">
        <v>38</v>
      </c>
      <c r="F4" s="160"/>
      <c r="G4" s="160"/>
      <c r="H4" s="160"/>
      <c r="I4" s="161"/>
      <c r="J4" s="27"/>
      <c r="K4" s="27"/>
      <c r="L4" s="21"/>
      <c r="M4" s="21"/>
      <c r="N4" s="21"/>
      <c r="O4" s="21"/>
      <c r="P4" s="29"/>
      <c r="Q4" s="29"/>
      <c r="R4" s="29"/>
      <c r="S4" s="21"/>
      <c r="T4" s="21"/>
      <c r="U4" s="21"/>
      <c r="V4" s="21"/>
      <c r="W4" s="21"/>
      <c r="X4" s="21"/>
      <c r="Y4" s="21"/>
      <c r="Z4" s="21"/>
    </row>
    <row r="5" spans="1:26" ht="15.75" customHeight="1">
      <c r="A5" s="21"/>
      <c r="B5" s="31" t="s">
        <v>56</v>
      </c>
      <c r="C5" s="31">
        <f>C13</f>
        <v>0</v>
      </c>
      <c r="D5" s="30"/>
      <c r="E5" s="32"/>
      <c r="F5" s="33"/>
      <c r="G5" s="33"/>
      <c r="H5" s="34"/>
      <c r="I5" s="34"/>
      <c r="J5" s="27"/>
      <c r="K5" s="27"/>
      <c r="L5" s="21"/>
      <c r="M5" s="21"/>
      <c r="N5" s="21"/>
      <c r="O5" s="21"/>
      <c r="P5" s="29"/>
      <c r="Q5" s="29"/>
      <c r="R5" s="29"/>
      <c r="S5" s="21"/>
      <c r="T5" s="21"/>
      <c r="U5" s="21"/>
      <c r="V5" s="21"/>
      <c r="W5" s="21"/>
      <c r="X5" s="21"/>
      <c r="Y5" s="21"/>
      <c r="Z5" s="21"/>
    </row>
    <row r="6" spans="1:26" ht="15.75" customHeight="1">
      <c r="A6" s="21"/>
      <c r="B6" s="35" t="s">
        <v>32</v>
      </c>
      <c r="C6" s="35">
        <f>E13</f>
        <v>0</v>
      </c>
      <c r="D6" s="30"/>
      <c r="E6" s="36"/>
      <c r="F6" s="37"/>
      <c r="G6" s="38"/>
      <c r="H6" s="39"/>
      <c r="I6" s="39"/>
      <c r="J6" s="27"/>
      <c r="K6" s="27"/>
      <c r="L6" s="21"/>
      <c r="M6" s="21"/>
      <c r="N6" s="21"/>
      <c r="O6" s="21"/>
      <c r="P6" s="29"/>
      <c r="Q6" s="29"/>
      <c r="R6" s="29"/>
      <c r="S6" s="21"/>
      <c r="T6" s="21"/>
      <c r="U6" s="21"/>
      <c r="V6" s="21"/>
      <c r="W6" s="21"/>
      <c r="X6" s="21"/>
      <c r="Y6" s="21"/>
      <c r="Z6" s="21"/>
    </row>
    <row r="7" spans="1:26" ht="15.75" customHeight="1">
      <c r="A7" s="21"/>
      <c r="B7" s="40" t="s">
        <v>34</v>
      </c>
      <c r="C7" s="40">
        <f>H13+I13</f>
        <v>0</v>
      </c>
      <c r="D7" s="30"/>
      <c r="E7" s="162"/>
      <c r="F7" s="163"/>
      <c r="G7" s="163"/>
      <c r="H7" s="163"/>
      <c r="I7" s="164"/>
      <c r="J7" s="27"/>
      <c r="K7" s="27"/>
      <c r="L7" s="21"/>
      <c r="M7" s="21"/>
      <c r="N7" s="21"/>
      <c r="O7" s="21"/>
      <c r="P7" s="29"/>
      <c r="Q7" s="29"/>
      <c r="R7" s="29"/>
      <c r="S7" s="21"/>
      <c r="T7" s="21"/>
      <c r="U7" s="21"/>
      <c r="V7" s="21"/>
      <c r="W7" s="21"/>
      <c r="X7" s="21"/>
      <c r="Y7" s="21"/>
      <c r="Z7" s="21"/>
    </row>
    <row r="8" spans="1:26" ht="15.75" customHeight="1">
      <c r="A8" s="21"/>
      <c r="B8" s="41" t="s">
        <v>57</v>
      </c>
      <c r="C8" s="41">
        <f>C5+C6-C7-E7</f>
        <v>0</v>
      </c>
      <c r="D8" s="27"/>
      <c r="E8" s="27"/>
      <c r="F8" s="27"/>
      <c r="G8" s="27"/>
      <c r="H8" s="27"/>
      <c r="I8" s="27"/>
      <c r="J8" s="27"/>
      <c r="K8" s="27"/>
      <c r="L8" s="21"/>
      <c r="M8" s="21"/>
      <c r="N8" s="21"/>
      <c r="O8" s="21"/>
      <c r="P8" s="29"/>
      <c r="Q8" s="29"/>
      <c r="R8" s="29"/>
      <c r="S8" s="21"/>
      <c r="T8" s="21"/>
      <c r="U8" s="21"/>
      <c r="V8" s="21"/>
      <c r="W8" s="21"/>
      <c r="X8" s="21"/>
      <c r="Y8" s="21"/>
      <c r="Z8" s="21"/>
    </row>
    <row r="9" spans="1:26" ht="15.75" customHeight="1">
      <c r="A9" s="21"/>
      <c r="B9" s="42"/>
      <c r="C9" s="27"/>
      <c r="D9" s="27"/>
      <c r="E9" s="42"/>
      <c r="F9" s="42"/>
      <c r="G9" s="42"/>
      <c r="H9" s="42"/>
      <c r="I9" s="42"/>
      <c r="J9" s="42"/>
      <c r="K9" s="27"/>
      <c r="L9" s="21"/>
      <c r="M9" s="21"/>
      <c r="N9" s="21"/>
      <c r="O9" s="21"/>
      <c r="P9" s="43"/>
      <c r="Q9" s="29"/>
      <c r="R9" s="29"/>
      <c r="S9" s="21"/>
      <c r="T9" s="21"/>
      <c r="U9" s="21"/>
      <c r="V9" s="21"/>
      <c r="W9" s="21"/>
      <c r="X9" s="21"/>
      <c r="Y9" s="21"/>
      <c r="Z9" s="21"/>
    </row>
    <row r="10" spans="1:26" ht="15.75" customHeight="1">
      <c r="A10" s="21"/>
      <c r="B10" s="165" t="s">
        <v>30</v>
      </c>
      <c r="C10" s="174" t="s">
        <v>56</v>
      </c>
      <c r="D10" s="175"/>
      <c r="E10" s="167" t="s">
        <v>32</v>
      </c>
      <c r="F10" s="168"/>
      <c r="G10" s="169"/>
      <c r="H10" s="170" t="s">
        <v>34</v>
      </c>
      <c r="I10" s="168"/>
      <c r="J10" s="169"/>
      <c r="K10" s="27"/>
      <c r="L10" s="21"/>
      <c r="M10" s="21"/>
      <c r="N10" s="21"/>
      <c r="O10" s="21"/>
      <c r="P10" s="29"/>
      <c r="Q10" s="29"/>
      <c r="R10" s="29"/>
      <c r="S10" s="21"/>
      <c r="T10" s="21"/>
      <c r="U10" s="21"/>
      <c r="V10" s="21"/>
      <c r="W10" s="21"/>
      <c r="X10" s="21"/>
      <c r="Y10" s="21"/>
      <c r="Z10" s="21"/>
    </row>
    <row r="11" spans="1:26" ht="15.75" customHeight="1">
      <c r="A11" s="21"/>
      <c r="B11" s="166"/>
      <c r="C11" s="45" t="s">
        <v>58</v>
      </c>
      <c r="D11" s="45" t="s">
        <v>59</v>
      </c>
      <c r="E11" s="46" t="s">
        <v>60</v>
      </c>
      <c r="F11" s="46" t="s">
        <v>61</v>
      </c>
      <c r="G11" s="46" t="s">
        <v>62</v>
      </c>
      <c r="H11" s="47" t="s">
        <v>35</v>
      </c>
      <c r="I11" s="48" t="s">
        <v>63</v>
      </c>
      <c r="J11" s="49" t="s">
        <v>64</v>
      </c>
      <c r="K11" s="27"/>
      <c r="L11" s="50"/>
      <c r="M11" s="50"/>
      <c r="N11" s="50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5.75" customHeight="1">
      <c r="A12" s="21"/>
      <c r="B12" s="51" t="s">
        <v>65</v>
      </c>
      <c r="C12" s="52"/>
      <c r="D12" s="52"/>
      <c r="E12" s="53"/>
      <c r="F12" s="53"/>
      <c r="G12" s="53"/>
      <c r="H12" s="54"/>
      <c r="I12" s="55"/>
      <c r="J12" s="56"/>
      <c r="K12" s="27"/>
      <c r="L12" s="50"/>
      <c r="M12" s="50"/>
      <c r="N12" s="50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5.75" customHeight="1">
      <c r="A13" s="21"/>
      <c r="B13" s="57" t="s">
        <v>66</v>
      </c>
      <c r="C13" s="174"/>
      <c r="D13" s="175"/>
      <c r="E13" s="167"/>
      <c r="F13" s="169"/>
      <c r="G13" s="58"/>
      <c r="H13" s="40"/>
      <c r="I13" s="176"/>
      <c r="J13" s="175"/>
      <c r="K13" s="27"/>
      <c r="L13" s="27"/>
      <c r="M13" s="27"/>
      <c r="N13" s="27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5.75" customHeight="1">
      <c r="A14" s="21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.75" customHeight="1">
      <c r="A15" s="21"/>
      <c r="B15" s="59" t="s">
        <v>67</v>
      </c>
      <c r="C15" s="60"/>
      <c r="D15" s="60"/>
      <c r="E15" s="60"/>
      <c r="F15" s="50"/>
      <c r="G15" s="50"/>
      <c r="H15" s="50"/>
      <c r="I15" s="50"/>
      <c r="J15" s="50"/>
      <c r="K15" s="50"/>
      <c r="L15" s="50"/>
      <c r="M15" s="50"/>
      <c r="N15" s="50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.75" customHeight="1">
      <c r="A16" s="21"/>
      <c r="B16" s="61" t="s">
        <v>68</v>
      </c>
      <c r="C16" s="44" t="s">
        <v>69</v>
      </c>
      <c r="D16" s="62" t="s">
        <v>70</v>
      </c>
      <c r="E16" s="49" t="s">
        <v>66</v>
      </c>
      <c r="F16" s="27"/>
      <c r="G16" s="27"/>
      <c r="H16" s="27"/>
      <c r="I16" s="27"/>
      <c r="J16" s="27"/>
      <c r="K16" s="27"/>
      <c r="L16" s="27"/>
      <c r="M16" s="27"/>
      <c r="N16" s="27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customHeight="1">
      <c r="A17" s="21"/>
      <c r="B17" s="63" t="s">
        <v>71</v>
      </c>
      <c r="C17" s="64"/>
      <c r="D17" s="65"/>
      <c r="E17" s="49"/>
      <c r="F17" s="27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.75" customHeight="1">
      <c r="A18" s="21"/>
      <c r="B18" s="66" t="s">
        <v>72</v>
      </c>
      <c r="C18" s="64"/>
      <c r="D18" s="65"/>
      <c r="E18" s="49"/>
      <c r="F18" s="27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customHeight="1">
      <c r="A19" s="21"/>
      <c r="B19" s="66" t="s">
        <v>73</v>
      </c>
      <c r="C19" s="64"/>
      <c r="D19" s="65"/>
      <c r="E19" s="49"/>
      <c r="F19" s="27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customHeight="1">
      <c r="A20" s="21"/>
      <c r="B20" s="66" t="s">
        <v>74</v>
      </c>
      <c r="C20" s="67"/>
      <c r="D20" s="68"/>
      <c r="E20" s="49"/>
      <c r="F20" s="27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.75" customHeight="1">
      <c r="A21" s="21"/>
      <c r="B21" s="69" t="s">
        <v>66</v>
      </c>
      <c r="C21" s="57"/>
      <c r="D21" s="70"/>
      <c r="E21" s="49"/>
      <c r="F21" s="27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customHeight="1">
      <c r="A22" s="21"/>
      <c r="B22" s="27"/>
      <c r="C22" s="27"/>
      <c r="D22" s="27"/>
      <c r="E22" s="27"/>
      <c r="F22" s="27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75" customHeight="1">
      <c r="A23" s="21"/>
      <c r="B23" s="59" t="s">
        <v>75</v>
      </c>
      <c r="C23" s="50"/>
      <c r="D23" s="50"/>
      <c r="E23" s="50"/>
      <c r="F23" s="50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.75" customHeight="1">
      <c r="A24" s="21"/>
      <c r="B24" s="37" t="s">
        <v>30</v>
      </c>
      <c r="C24" s="37" t="s">
        <v>76</v>
      </c>
      <c r="D24" s="37" t="s">
        <v>77</v>
      </c>
      <c r="E24" s="37" t="s">
        <v>34</v>
      </c>
      <c r="F24" s="27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customHeight="1">
      <c r="A25" s="21"/>
      <c r="B25" s="177" t="s">
        <v>35</v>
      </c>
      <c r="C25" s="37"/>
      <c r="D25" s="37"/>
      <c r="E25" s="37"/>
      <c r="F25" s="27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.75" customHeight="1">
      <c r="A26" s="21"/>
      <c r="B26" s="178"/>
      <c r="C26" s="37"/>
      <c r="D26" s="37"/>
      <c r="E26" s="37"/>
      <c r="F26" s="27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.75" customHeight="1">
      <c r="A27" s="21"/>
      <c r="B27" s="178"/>
      <c r="C27" s="37"/>
      <c r="D27" s="37"/>
      <c r="E27" s="37"/>
      <c r="F27" s="27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.75" customHeight="1">
      <c r="A28" s="21"/>
      <c r="B28" s="178"/>
      <c r="C28" s="71"/>
      <c r="D28" s="71"/>
      <c r="E28" s="7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customHeight="1">
      <c r="A29" s="21"/>
      <c r="B29" s="178"/>
      <c r="C29" s="71"/>
      <c r="D29" s="71"/>
      <c r="E29" s="71"/>
      <c r="F29" s="27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customHeight="1">
      <c r="A30" s="21"/>
      <c r="B30" s="178"/>
      <c r="C30" s="71"/>
      <c r="D30" s="71"/>
      <c r="E30" s="71"/>
      <c r="F30" s="27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5.75" customHeight="1">
      <c r="A31" s="21"/>
      <c r="B31" s="178"/>
      <c r="C31" s="37"/>
      <c r="D31" s="37"/>
      <c r="E31" s="37"/>
      <c r="F31" s="27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.75" customHeight="1">
      <c r="A32" s="21"/>
      <c r="B32" s="178"/>
      <c r="C32" s="37"/>
      <c r="D32" s="37"/>
      <c r="E32" s="37"/>
      <c r="F32" s="27"/>
      <c r="G32" s="21"/>
      <c r="H32" s="27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.75" customHeight="1">
      <c r="A33" s="21"/>
      <c r="B33" s="178"/>
      <c r="C33" s="37"/>
      <c r="D33" s="37"/>
      <c r="E33" s="37"/>
      <c r="F33" s="27"/>
      <c r="G33" s="27"/>
      <c r="H33" s="27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.75" customHeight="1">
      <c r="A34" s="21"/>
      <c r="B34" s="178"/>
      <c r="C34" s="37"/>
      <c r="D34" s="37"/>
      <c r="E34" s="37"/>
      <c r="F34" s="27"/>
      <c r="G34" s="27"/>
      <c r="H34" s="27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5.75" customHeight="1">
      <c r="A35" s="21"/>
      <c r="B35" s="178"/>
      <c r="C35" s="37"/>
      <c r="D35" s="37"/>
      <c r="E35" s="37"/>
      <c r="F35" s="27"/>
      <c r="G35" s="27"/>
      <c r="H35" s="27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.75" customHeight="1">
      <c r="A36" s="21"/>
      <c r="B36" s="178"/>
      <c r="C36" s="37"/>
      <c r="D36" s="37"/>
      <c r="E36" s="37"/>
      <c r="F36" s="27"/>
      <c r="G36" s="27"/>
      <c r="H36" s="27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.75" customHeight="1">
      <c r="A37" s="21"/>
      <c r="B37" s="178"/>
      <c r="C37" s="37"/>
      <c r="D37" s="37"/>
      <c r="E37" s="37"/>
      <c r="F37" s="27"/>
      <c r="G37" s="27"/>
      <c r="H37" s="27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.75" customHeight="1">
      <c r="A38" s="21"/>
      <c r="B38" s="178"/>
      <c r="C38" s="37"/>
      <c r="D38" s="37"/>
      <c r="E38" s="37"/>
      <c r="F38" s="27"/>
      <c r="G38" s="27"/>
      <c r="H38" s="27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.75" customHeight="1">
      <c r="A39" s="21"/>
      <c r="B39" s="178"/>
      <c r="C39" s="37"/>
      <c r="D39" s="37"/>
      <c r="E39" s="37"/>
      <c r="F39" s="27"/>
      <c r="G39" s="27"/>
      <c r="H39" s="27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.75" customHeight="1">
      <c r="A40" s="21"/>
      <c r="B40" s="179" t="s">
        <v>66</v>
      </c>
      <c r="C40" s="180"/>
      <c r="D40" s="175"/>
      <c r="E40" s="72">
        <f>SUM(E25:E39)</f>
        <v>0</v>
      </c>
      <c r="F40" s="27"/>
      <c r="G40" s="27"/>
      <c r="H40" s="27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.75" customHeight="1">
      <c r="A41" s="21"/>
      <c r="B41" s="27"/>
      <c r="C41" s="27"/>
      <c r="D41" s="27"/>
      <c r="E41" s="27"/>
      <c r="F41" s="27"/>
      <c r="G41" s="27"/>
      <c r="H41" s="27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.75" customHeight="1">
      <c r="A42" s="21"/>
      <c r="B42" s="59" t="s">
        <v>78</v>
      </c>
      <c r="C42" s="50"/>
      <c r="D42" s="50"/>
      <c r="E42" s="50"/>
      <c r="F42" s="50"/>
      <c r="G42" s="50"/>
      <c r="H42" s="60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customHeight="1">
      <c r="A43" s="21"/>
      <c r="B43" s="37" t="s">
        <v>79</v>
      </c>
      <c r="C43" s="37" t="s">
        <v>77</v>
      </c>
      <c r="D43" s="37" t="s">
        <v>65</v>
      </c>
      <c r="E43" s="37" t="s">
        <v>80</v>
      </c>
      <c r="F43" s="37" t="s">
        <v>57</v>
      </c>
      <c r="G43" s="61" t="s">
        <v>81</v>
      </c>
      <c r="H43" s="37" t="s">
        <v>82</v>
      </c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.75" customHeight="1">
      <c r="A44" s="21"/>
      <c r="B44" s="37"/>
      <c r="C44" s="37"/>
      <c r="D44" s="37"/>
      <c r="E44" s="73"/>
      <c r="F44" s="37"/>
      <c r="G44" s="57">
        <f t="shared" ref="G44:G45" si="0">H44-B44</f>
        <v>0</v>
      </c>
      <c r="H44" s="37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.75" customHeight="1">
      <c r="A45" s="21"/>
      <c r="B45" s="37"/>
      <c r="C45" s="37"/>
      <c r="D45" s="37"/>
      <c r="E45" s="73"/>
      <c r="F45" s="37"/>
      <c r="G45" s="57">
        <f t="shared" si="0"/>
        <v>0</v>
      </c>
      <c r="H45" s="37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customHeight="1">
      <c r="A48" s="21"/>
      <c r="B48" s="181" t="s">
        <v>83</v>
      </c>
      <c r="C48" s="182"/>
      <c r="D48" s="74">
        <f>SUM(D44:D47)</f>
        <v>0</v>
      </c>
      <c r="E48" s="57" t="s">
        <v>84</v>
      </c>
      <c r="F48" s="57">
        <f>SUM(F44:F47)</f>
        <v>0</v>
      </c>
      <c r="G48" s="27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customHeight="1">
      <c r="A49" s="21"/>
      <c r="B49" s="27"/>
      <c r="C49" s="27"/>
      <c r="D49" s="27"/>
      <c r="E49" s="27"/>
      <c r="F49" s="27"/>
      <c r="G49" s="27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customHeight="1">
      <c r="A50" s="21"/>
      <c r="B50" s="59" t="s">
        <v>85</v>
      </c>
      <c r="C50" s="50"/>
      <c r="D50" s="50"/>
      <c r="E50" s="50"/>
      <c r="F50" s="50"/>
      <c r="G50" s="50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customHeight="1">
      <c r="A51" s="21"/>
      <c r="B51" s="75" t="s">
        <v>86</v>
      </c>
      <c r="C51" s="76" t="s">
        <v>77</v>
      </c>
      <c r="D51" s="76" t="s">
        <v>87</v>
      </c>
      <c r="E51" s="76" t="s">
        <v>65</v>
      </c>
      <c r="F51" s="171" t="s">
        <v>80</v>
      </c>
      <c r="G51" s="172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.75" customHeight="1">
      <c r="A52" s="21"/>
      <c r="B52" s="173" t="s">
        <v>88</v>
      </c>
      <c r="C52" s="168"/>
      <c r="D52" s="169"/>
      <c r="E52" s="49"/>
      <c r="F52" s="57" t="s">
        <v>89</v>
      </c>
      <c r="G52" s="77" t="s">
        <v>90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.75" customHeight="1">
      <c r="A53" s="21"/>
      <c r="B53" s="78">
        <v>45326</v>
      </c>
      <c r="C53" s="57" t="s">
        <v>91</v>
      </c>
      <c r="D53" s="57" t="s">
        <v>92</v>
      </c>
      <c r="E53" s="57">
        <v>500000</v>
      </c>
      <c r="F53" s="79" t="s">
        <v>93</v>
      </c>
      <c r="G53" s="77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.75" customHeight="1">
      <c r="A54" s="21"/>
      <c r="B54" s="78">
        <v>45333</v>
      </c>
      <c r="C54" s="57" t="s">
        <v>94</v>
      </c>
      <c r="D54" s="57" t="s">
        <v>95</v>
      </c>
      <c r="E54" s="57">
        <v>300000</v>
      </c>
      <c r="F54" s="79" t="s">
        <v>93</v>
      </c>
      <c r="G54" s="77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.75" customHeight="1">
      <c r="A55" s="21"/>
      <c r="B55" s="78">
        <v>45346</v>
      </c>
      <c r="C55" s="57" t="s">
        <v>96</v>
      </c>
      <c r="D55" s="57" t="s">
        <v>97</v>
      </c>
      <c r="E55" s="57">
        <v>100000</v>
      </c>
      <c r="F55" s="79" t="s">
        <v>93</v>
      </c>
      <c r="G55" s="77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.75" customHeight="1">
      <c r="A56" s="21"/>
      <c r="B56" s="78">
        <v>45349</v>
      </c>
      <c r="C56" s="57" t="s">
        <v>98</v>
      </c>
      <c r="D56" s="57" t="s">
        <v>99</v>
      </c>
      <c r="E56" s="57">
        <v>120000</v>
      </c>
      <c r="F56" s="79" t="s">
        <v>93</v>
      </c>
      <c r="G56" s="77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6">
    <mergeCell ref="I13:J13"/>
    <mergeCell ref="B25:B39"/>
    <mergeCell ref="B40:D40"/>
    <mergeCell ref="B48:C48"/>
    <mergeCell ref="F51:G51"/>
    <mergeCell ref="B52:D52"/>
    <mergeCell ref="C10:D10"/>
    <mergeCell ref="C13:D13"/>
    <mergeCell ref="E13:F13"/>
    <mergeCell ref="P2:R2"/>
    <mergeCell ref="B4:C4"/>
    <mergeCell ref="E4:I4"/>
    <mergeCell ref="E7:I7"/>
    <mergeCell ref="B10:B11"/>
    <mergeCell ref="E10:G10"/>
    <mergeCell ref="H10:J10"/>
  </mergeCells>
  <phoneticPr fontId="1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저축 구리두리</vt:lpstr>
      <vt:lpstr>요약</vt:lpstr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minjung son</dc:creator>
  <cp:lastModifiedBy>한 상휘</cp:lastModifiedBy>
  <dcterms:created xsi:type="dcterms:W3CDTF">2024-02-17T12:05:38Z</dcterms:created>
  <dcterms:modified xsi:type="dcterms:W3CDTF">2026-05-02T05:49:03Z</dcterms:modified>
</cp:coreProperties>
</file>